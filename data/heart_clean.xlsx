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S2\Semesteran\Semester 1 Periode 2 (2512)\Machine Learning\Assignment and AoL\Assignment 1\"/>
    </mc:Choice>
  </mc:AlternateContent>
  <xr:revisionPtr revIDLastSave="0" documentId="13_ncr:1_{6D87497D-B0F1-4043-A33E-F64DEFEF0670}" xr6:coauthVersionLast="47" xr6:coauthVersionMax="47" xr10:uidLastSave="{00000000-0000-0000-0000-000000000000}"/>
  <bookViews>
    <workbookView xWindow="20370" yWindow="-120" windowWidth="29040" windowHeight="15720" activeTab="5" xr2:uid="{B23E2F26-D728-45B7-87EF-7C6B2CB9790F}"/>
  </bookViews>
  <sheets>
    <sheet name="heart" sheetId="1" r:id="rId1"/>
    <sheet name="tabel fitur" sheetId="4" r:id="rId2"/>
    <sheet name="tabel 2.1" sheetId="2" r:id="rId3"/>
    <sheet name="tabel 2.2" sheetId="3" r:id="rId4"/>
    <sheet name="histogram" sheetId="5" r:id="rId5"/>
    <sheet name="heatmap" sheetId="6" r:id="rId6"/>
    <sheet name="boxplot" sheetId="7" r:id="rId7"/>
  </sheets>
  <definedNames>
    <definedName name="_xlnm._FilterDatabase" localSheetId="0" hidden="1">heart!$A$1:$N$1026</definedName>
    <definedName name="_xlnm._FilterDatabase" localSheetId="2" hidden="1">'tabel 2.1'!$A$1:$E$1</definedName>
    <definedName name="_xlnm._FilterDatabase" localSheetId="1" hidden="1">'tabel fitur'!$A$1:$C$15</definedName>
    <definedName name="_xlchart.v1.0" hidden="1">heart!$J$1</definedName>
    <definedName name="_xlchart.v1.1" hidden="1">heart!$J$2:$J$1026</definedName>
    <definedName name="_xlchart.v1.2" hidden="1">heart!$J$2:$J$303</definedName>
    <definedName name="_xlchart.v1.3" hidden="1">heart!$D$1</definedName>
    <definedName name="_xlchart.v1.4" hidden="1">heart!$D$2:$D$1026</definedName>
    <definedName name="_xlchart.v1.5" hidden="1">heart!$D$2:$D$303</definedName>
    <definedName name="_xlchart.v1.6" hidden="1">heart!$E$1</definedName>
    <definedName name="_xlchart.v1.7" hidden="1">heart!$E$2:$E$1026</definedName>
    <definedName name="_xlchart.v1.8" hidden="1">heart!$E$2:$E$303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1" i="5" l="1"/>
  <c r="G6" i="6"/>
  <c r="G5" i="6"/>
  <c r="G4" i="6"/>
  <c r="G3" i="6"/>
  <c r="G2" i="6"/>
  <c r="F7" i="6"/>
  <c r="F5" i="6"/>
  <c r="F4" i="6"/>
  <c r="F3" i="6"/>
  <c r="F2" i="6"/>
  <c r="E7" i="6"/>
  <c r="E6" i="6"/>
  <c r="E4" i="6"/>
  <c r="E3" i="6"/>
  <c r="E2" i="6"/>
  <c r="D7" i="6"/>
  <c r="D6" i="6"/>
  <c r="D5" i="6"/>
  <c r="D3" i="6"/>
  <c r="D2" i="6"/>
  <c r="C7" i="6"/>
  <c r="C6" i="6"/>
  <c r="C5" i="6"/>
  <c r="C4" i="6"/>
  <c r="C2" i="6"/>
  <c r="B7" i="6"/>
  <c r="B6" i="6"/>
  <c r="B5" i="6"/>
  <c r="B4" i="6"/>
  <c r="B3" i="6"/>
  <c r="F100" i="5"/>
  <c r="F99" i="5"/>
  <c r="F78" i="5"/>
  <c r="F77" i="5"/>
  <c r="F49" i="5"/>
  <c r="F48" i="5"/>
  <c r="F26" i="5"/>
  <c r="F25" i="5"/>
  <c r="F4" i="5"/>
  <c r="F3" i="5"/>
  <c r="C3" i="3"/>
  <c r="C2" i="3"/>
  <c r="E15" i="2"/>
  <c r="E14" i="2"/>
  <c r="E13" i="2"/>
  <c r="E12" i="2"/>
  <c r="E11" i="2"/>
  <c r="F104" i="5" s="1"/>
  <c r="E10" i="2"/>
  <c r="E9" i="2"/>
  <c r="E8" i="2"/>
  <c r="E7" i="2"/>
  <c r="E6" i="2"/>
  <c r="E5" i="2"/>
  <c r="E4" i="2"/>
  <c r="E3" i="2"/>
  <c r="E2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F7" i="5" s="1"/>
  <c r="A2" i="5" s="1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F101" i="5" l="1"/>
  <c r="F102" i="5" s="1"/>
  <c r="F79" i="5"/>
  <c r="F80" i="5" s="1"/>
  <c r="F50" i="5"/>
  <c r="F51" i="5" s="1"/>
  <c r="F27" i="5"/>
  <c r="F28" i="5" s="1"/>
  <c r="F5" i="5"/>
  <c r="F82" i="5"/>
  <c r="F53" i="5"/>
  <c r="F30" i="5"/>
  <c r="F103" i="5"/>
  <c r="A98" i="5" s="1"/>
  <c r="F81" i="5"/>
  <c r="A76" i="5" s="1"/>
  <c r="F52" i="5"/>
  <c r="A47" i="5" s="1"/>
  <c r="F29" i="5"/>
  <c r="A24" i="5" s="1"/>
  <c r="F8" i="5"/>
  <c r="F6" i="5" l="1"/>
  <c r="A3" i="5" s="1"/>
  <c r="A25" i="5"/>
  <c r="C4" i="3"/>
  <c r="A48" i="5"/>
  <c r="B47" i="5" s="1"/>
  <c r="A77" i="5"/>
  <c r="C76" i="5" s="1"/>
  <c r="A99" i="5"/>
  <c r="B98" i="5" s="1"/>
  <c r="B76" i="5" l="1"/>
  <c r="B2" i="5"/>
  <c r="C2" i="5"/>
  <c r="A4" i="5"/>
  <c r="C3" i="5" s="1"/>
  <c r="A26" i="5"/>
  <c r="B25" i="5"/>
  <c r="B24" i="5"/>
  <c r="C47" i="5"/>
  <c r="C25" i="5"/>
  <c r="A100" i="5"/>
  <c r="B99" i="5" s="1"/>
  <c r="C24" i="5"/>
  <c r="C98" i="5"/>
  <c r="A78" i="5"/>
  <c r="A49" i="5"/>
  <c r="B48" i="5" s="1"/>
  <c r="A27" i="5"/>
  <c r="B26" i="5" l="1"/>
  <c r="C99" i="5"/>
  <c r="A5" i="5"/>
  <c r="B77" i="5"/>
  <c r="B3" i="5"/>
  <c r="C77" i="5"/>
  <c r="A101" i="5"/>
  <c r="B100" i="5" s="1"/>
  <c r="A50" i="5"/>
  <c r="B49" i="5" s="1"/>
  <c r="C49" i="5"/>
  <c r="C48" i="5"/>
  <c r="A79" i="5"/>
  <c r="A28" i="5"/>
  <c r="C26" i="5"/>
  <c r="C78" i="5" l="1"/>
  <c r="C4" i="5"/>
  <c r="A6" i="5"/>
  <c r="B5" i="5" s="1"/>
  <c r="B4" i="5"/>
  <c r="B27" i="5"/>
  <c r="B78" i="5"/>
  <c r="A102" i="5"/>
  <c r="C100" i="5"/>
  <c r="A80" i="5"/>
  <c r="A51" i="5"/>
  <c r="B50" i="5" s="1"/>
  <c r="C50" i="5"/>
  <c r="C27" i="5"/>
  <c r="A29" i="5"/>
  <c r="C5" i="5" l="1"/>
  <c r="A7" i="5"/>
  <c r="C28" i="5"/>
  <c r="C101" i="5"/>
  <c r="B102" i="5"/>
  <c r="B79" i="5"/>
  <c r="B101" i="5"/>
  <c r="B28" i="5"/>
  <c r="C79" i="5"/>
  <c r="C6" i="5"/>
  <c r="A103" i="5"/>
  <c r="A52" i="5"/>
  <c r="A81" i="5"/>
  <c r="A30" i="5"/>
  <c r="B29" i="5" s="1"/>
  <c r="C51" i="5" l="1"/>
  <c r="C102" i="5"/>
  <c r="B103" i="5"/>
  <c r="A8" i="5"/>
  <c r="B7" i="5" s="1"/>
  <c r="B6" i="5"/>
  <c r="C80" i="5"/>
  <c r="B51" i="5"/>
  <c r="B80" i="5"/>
  <c r="A104" i="5"/>
  <c r="A82" i="5"/>
  <c r="A53" i="5"/>
  <c r="A31" i="5"/>
  <c r="C29" i="5"/>
  <c r="B52" i="5" l="1"/>
  <c r="B30" i="5"/>
  <c r="C7" i="5"/>
  <c r="A9" i="5"/>
  <c r="C81" i="5"/>
  <c r="B81" i="5"/>
  <c r="C52" i="5"/>
  <c r="A105" i="5"/>
  <c r="C103" i="5"/>
  <c r="A54" i="5"/>
  <c r="A83" i="5"/>
  <c r="A32" i="5"/>
  <c r="B31" i="5" s="1"/>
  <c r="C30" i="5"/>
  <c r="C53" i="5" l="1"/>
  <c r="C8" i="5"/>
  <c r="A10" i="5"/>
  <c r="B9" i="5" s="1"/>
  <c r="C104" i="5"/>
  <c r="B8" i="5"/>
  <c r="B104" i="5"/>
  <c r="B82" i="5"/>
  <c r="B53" i="5"/>
  <c r="A106" i="5"/>
  <c r="B105" i="5" s="1"/>
  <c r="C82" i="5"/>
  <c r="A84" i="5"/>
  <c r="A55" i="5"/>
  <c r="B54" i="5" s="1"/>
  <c r="C54" i="5"/>
  <c r="A33" i="5"/>
  <c r="C31" i="5"/>
  <c r="A11" i="5" l="1"/>
  <c r="B10" i="5" s="1"/>
  <c r="C83" i="5"/>
  <c r="B32" i="5"/>
  <c r="B55" i="5"/>
  <c r="C9" i="5"/>
  <c r="B83" i="5"/>
  <c r="A107" i="5"/>
  <c r="B106" i="5" s="1"/>
  <c r="C105" i="5"/>
  <c r="A56" i="5"/>
  <c r="A85" i="5"/>
  <c r="B84" i="5" s="1"/>
  <c r="A34" i="5"/>
  <c r="C32" i="5"/>
  <c r="B33" i="5" l="1"/>
  <c r="C84" i="5"/>
  <c r="C10" i="5"/>
  <c r="A12" i="5"/>
  <c r="B11" i="5" s="1"/>
  <c r="C55" i="5"/>
  <c r="A108" i="5"/>
  <c r="B107" i="5" s="1"/>
  <c r="C107" i="5"/>
  <c r="C106" i="5"/>
  <c r="A86" i="5"/>
  <c r="A57" i="5"/>
  <c r="B56" i="5" s="1"/>
  <c r="A35" i="5"/>
  <c r="C33" i="5"/>
  <c r="B85" i="5" l="1"/>
  <c r="C56" i="5"/>
  <c r="C11" i="5"/>
  <c r="A13" i="5"/>
  <c r="B12" i="5" s="1"/>
  <c r="B34" i="5"/>
  <c r="A109" i="5"/>
  <c r="B108" i="5" s="1"/>
  <c r="C34" i="5"/>
  <c r="A58" i="5"/>
  <c r="C57" i="5"/>
  <c r="A87" i="5"/>
  <c r="C86" i="5"/>
  <c r="C85" i="5"/>
  <c r="A36" i="5"/>
  <c r="B57" i="5" l="1"/>
  <c r="B86" i="5"/>
  <c r="C12" i="5"/>
  <c r="A14" i="5"/>
  <c r="B13" i="5" s="1"/>
  <c r="B35" i="5"/>
  <c r="A110" i="5"/>
  <c r="B109" i="5" s="1"/>
  <c r="C109" i="5"/>
  <c r="C108" i="5"/>
  <c r="A88" i="5"/>
  <c r="A59" i="5"/>
  <c r="A37" i="5"/>
  <c r="C35" i="5"/>
  <c r="C87" i="5" l="1"/>
  <c r="B36" i="5"/>
  <c r="B110" i="5"/>
  <c r="B87" i="5"/>
  <c r="B14" i="5"/>
  <c r="C14" i="5"/>
  <c r="C13" i="5"/>
  <c r="B58" i="5"/>
  <c r="C58" i="5"/>
  <c r="A111" i="5"/>
  <c r="C110" i="5"/>
  <c r="A60" i="5"/>
  <c r="A89" i="5"/>
  <c r="A38" i="5"/>
  <c r="B37" i="5" s="1"/>
  <c r="C36" i="5"/>
  <c r="C88" i="5" l="1"/>
  <c r="C59" i="5"/>
  <c r="B88" i="5"/>
  <c r="C37" i="5"/>
  <c r="B38" i="5"/>
  <c r="B59" i="5"/>
  <c r="A90" i="5"/>
  <c r="C90" i="5" s="1"/>
  <c r="A61" i="5"/>
  <c r="A39" i="5"/>
  <c r="C89" i="5" l="1"/>
  <c r="B111" i="5"/>
  <c r="C60" i="5"/>
  <c r="B60" i="5"/>
  <c r="B90" i="5"/>
  <c r="B89" i="5"/>
  <c r="A62" i="5"/>
  <c r="B61" i="5" s="1"/>
  <c r="A40" i="5"/>
  <c r="C38" i="5"/>
  <c r="C61" i="5" l="1"/>
  <c r="B39" i="5"/>
  <c r="A63" i="5"/>
  <c r="B62" i="5" s="1"/>
  <c r="A41" i="5"/>
  <c r="C39" i="5"/>
  <c r="B40" i="5" l="1"/>
  <c r="C62" i="5"/>
  <c r="A64" i="5"/>
  <c r="B63" i="5" s="1"/>
  <c r="A42" i="5"/>
  <c r="C40" i="5"/>
  <c r="C41" i="5" l="1"/>
  <c r="C42" i="5"/>
  <c r="B42" i="5"/>
  <c r="B64" i="5"/>
  <c r="B41" i="5"/>
  <c r="C63" i="5"/>
  <c r="A65" i="5"/>
  <c r="C64" i="5" l="1"/>
  <c r="A66" i="5"/>
  <c r="C65" i="5"/>
  <c r="B65" i="5" l="1"/>
  <c r="A67" i="5"/>
  <c r="C66" i="5"/>
  <c r="B66" i="5" l="1"/>
  <c r="A68" i="5"/>
  <c r="C67" i="5"/>
  <c r="B67" i="5" l="1"/>
  <c r="A69" i="5"/>
  <c r="C68" i="5"/>
  <c r="B68" i="5" l="1"/>
  <c r="A70" i="5"/>
  <c r="C69" i="5"/>
  <c r="B69" i="5" l="1"/>
  <c r="A71" i="5"/>
  <c r="C71" i="5" s="1"/>
  <c r="B70" i="5" l="1"/>
  <c r="C70" i="5"/>
  <c r="B71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Yanlis Alim Sang Putra Lase</author>
  </authors>
  <commentList>
    <comment ref="C2" authorId="0" shapeId="0" xr:uid="{B3CBA879-6373-46A6-88B2-44D468D8E162}">
      <text>
        <r>
          <rPr>
            <b/>
            <sz val="9"/>
            <color indexed="81"/>
            <rFont val="Tahoma"/>
            <family val="2"/>
          </rPr>
          <t>Yanlis Alim Sang Putra Lase:</t>
        </r>
        <r>
          <rPr>
            <sz val="9"/>
            <color indexed="81"/>
            <rFont val="Tahoma"/>
            <family val="2"/>
          </rPr>
          <t xml:space="preserve">
ada teks label di sini dengan fill white</t>
        </r>
      </text>
    </comment>
    <comment ref="C24" authorId="0" shapeId="0" xr:uid="{C92BE166-117C-4253-9AAC-2AE2BEB05410}">
      <text>
        <r>
          <rPr>
            <b/>
            <sz val="9"/>
            <color indexed="81"/>
            <rFont val="Tahoma"/>
            <family val="2"/>
          </rPr>
          <t>Yanlis Alim Sang Putra Lase:</t>
        </r>
        <r>
          <rPr>
            <sz val="9"/>
            <color indexed="81"/>
            <rFont val="Tahoma"/>
            <family val="2"/>
          </rPr>
          <t xml:space="preserve">
ada teks label di sini dengan fill white</t>
        </r>
      </text>
    </comment>
    <comment ref="C47" authorId="0" shapeId="0" xr:uid="{ACA0782C-BD12-4261-BEB3-C96DC09D4659}">
      <text>
        <r>
          <rPr>
            <b/>
            <sz val="9"/>
            <color indexed="81"/>
            <rFont val="Tahoma"/>
            <family val="2"/>
          </rPr>
          <t>Yanlis Alim Sang Putra Lase:</t>
        </r>
        <r>
          <rPr>
            <sz val="9"/>
            <color indexed="81"/>
            <rFont val="Tahoma"/>
            <family val="2"/>
          </rPr>
          <t xml:space="preserve">
ada teks label di sini dengan fill white</t>
        </r>
      </text>
    </comment>
    <comment ref="C76" authorId="0" shapeId="0" xr:uid="{C6914CA7-F493-4B00-9FE5-A625571B034D}">
      <text>
        <r>
          <rPr>
            <b/>
            <sz val="9"/>
            <color indexed="81"/>
            <rFont val="Tahoma"/>
            <family val="2"/>
          </rPr>
          <t>Yanlis Alim Sang Putra Lase:</t>
        </r>
        <r>
          <rPr>
            <sz val="9"/>
            <color indexed="81"/>
            <rFont val="Tahoma"/>
            <family val="2"/>
          </rPr>
          <t xml:space="preserve">
ada teks label di sini dengan fill white</t>
        </r>
      </text>
    </comment>
    <comment ref="C98" authorId="0" shapeId="0" xr:uid="{04126CF9-B080-4C07-AA56-2FB15A491BBC}">
      <text>
        <r>
          <rPr>
            <b/>
            <sz val="9"/>
            <color indexed="81"/>
            <rFont val="Tahoma"/>
            <family val="2"/>
          </rPr>
          <t>Yanlis Alim Sang Putra Lase:</t>
        </r>
        <r>
          <rPr>
            <sz val="9"/>
            <color indexed="81"/>
            <rFont val="Tahoma"/>
            <family val="2"/>
          </rPr>
          <t xml:space="preserve">
ada teks label di sini dengan fill white</t>
        </r>
      </text>
    </comment>
  </commentList>
</comments>
</file>

<file path=xl/sharedStrings.xml><?xml version="1.0" encoding="utf-8"?>
<sst xmlns="http://schemas.openxmlformats.org/spreadsheetml/2006/main" count="142" uniqueCount="69">
  <si>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</si>
  <si>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</si>
  <si>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</si>
  <si>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</si>
  <si>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</si>
  <si>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</si>
  <si>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</si>
  <si>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</si>
  <si>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</si>
  <si>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</si>
  <si>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</si>
  <si>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</si>
  <si>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</si>
  <si>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</si>
  <si>
    <t>Variabel</t>
  </si>
  <si>
    <t>Mean</t>
  </si>
  <si>
    <t>Std Dev</t>
  </si>
  <si>
    <t>Min</t>
  </si>
  <si>
    <t>Max</t>
  </si>
  <si>
    <t>Kelas (target)</t>
  </si>
  <si>
    <t>Keterangan</t>
  </si>
  <si>
    <t>Jumlah</t>
  </si>
  <si>
    <t>Tidak memiliki penyakit jantung</t>
  </si>
  <si>
    <t>Memiliki penyakit jantung</t>
  </si>
  <si>
    <t>Total</t>
  </si>
  <si>
    <t>Jumlah Data</t>
  </si>
  <si>
    <t>Nama Fitur</t>
  </si>
  <si>
    <t>Tipe Data</t>
  </si>
  <si>
    <t>Deskripsi</t>
  </si>
  <si>
    <t>Numerik</t>
  </si>
  <si>
    <t>Usia pasien dalam tahun</t>
  </si>
  <si>
    <t>Numerik (0/1)</t>
  </si>
  <si>
    <t>Jenis kelamin (0 = wanita, 1 = pria)</t>
  </si>
  <si>
    <t>Numerik (0–3)</t>
  </si>
  <si>
    <t>Jenis nyeri dada (4 kategori)</t>
  </si>
  <si>
    <t>Resting blood pressure (mmHg)</t>
  </si>
  <si>
    <t>Serum cholesterol (mg/dl)</t>
  </si>
  <si>
    <t>Fasting blood sugar &gt; 120 mg/dl</t>
  </si>
  <si>
    <t>Numerik (0–2)</t>
  </si>
  <si>
    <t>Hasil pemeriksaan elektrokardiografi</t>
  </si>
  <si>
    <t>Detak jantung maksimum yang dicapai</t>
  </si>
  <si>
    <t>Angina akibat olahraga</t>
  </si>
  <si>
    <t>ST depression yang diinduksi oleh latihan</t>
  </si>
  <si>
    <t>Kemiringan segmen ST</t>
  </si>
  <si>
    <t>Numerik (0–4)</t>
  </si>
  <si>
    <t>Jumlah pembuluh darah utama</t>
  </si>
  <si>
    <t>Jenis thalassemia</t>
  </si>
  <si>
    <t>1 = penyakit jantung, 0 = normal</t>
  </si>
  <si>
    <t>min age</t>
  </si>
  <si>
    <t>max age</t>
  </si>
  <si>
    <t>IQR</t>
  </si>
  <si>
    <t>Q3</t>
  </si>
  <si>
    <t>Q1</t>
  </si>
  <si>
    <t>bin width</t>
  </si>
  <si>
    <t>Bin Upper</t>
  </si>
  <si>
    <t>Hitung BIN WIDTH Age Dengan Freedman–Diaconis</t>
  </si>
  <si>
    <t>Hitung BIN WIDTH Trestbps Dengan Freedman–Diaconis</t>
  </si>
  <si>
    <t>min trestbps</t>
  </si>
  <si>
    <t>max trestbps</t>
  </si>
  <si>
    <t>Label</t>
  </si>
  <si>
    <t>min chol</t>
  </si>
  <si>
    <t>max chol</t>
  </si>
  <si>
    <t>Hitung BIN WIDTH Chol Dengan Freedman–Diaconis</t>
  </si>
  <si>
    <t>Hitung BIN WIDTH Thalach Dengan Freedman–Diaconis</t>
  </si>
  <si>
    <t>min thalach</t>
  </si>
  <si>
    <t>max thalach</t>
  </si>
  <si>
    <t>Hitung BIN WIDTH Oldpeak Dengan Freedman–Diaconis</t>
  </si>
  <si>
    <t>min oldpeak</t>
  </si>
  <si>
    <t>max oldpeak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</si>
</sst>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0" xfId="0" applyNumberFormat="1"/>
    <xf numFmtId="2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vertical="center"/>
    </xf>
    <xf numFmtId="1" fontId="0" fillId="0" borderId="0" xfId="0" applyNumberFormat="1"/>
    <xf numFmtId="1" fontId="0" fillId="33" borderId="10" xfId="0" applyNumberFormat="1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1" fontId="0" fillId="34" borderId="10" xfId="0" applyNumberFormat="1" applyFill="1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/>
    </xf>
    <xf numFmtId="2" fontId="0" fillId="0" borderId="0" xfId="0" applyNumberFormat="1"/>
    <xf numFmtId="2" fontId="0" fillId="33" borderId="10" xfId="0" applyNumberFormat="1" applyFill="1" applyBorder="1" applyAlignment="1">
      <alignment horizontal="center" vertical="center"/>
    </xf>
    <xf numFmtId="2" fontId="0" fillId="34" borderId="10" xfId="0" applyNumberForma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6" fillId="33" borderId="10" xfId="0" applyFont="1" applyFill="1" applyBorder="1" applyAlignment="1">
      <alignment horizontal="center" vertical="center" wrapText="1"/>
    </xf>
    <xf numFmtId="2" fontId="0" fillId="0" borderId="10" xfId="0" applyNumberFormat="1" applyBorder="1" applyAlignment="1">
      <alignment horizontal="center" vertical="center" wrapText="1"/>
    </xf>
    <xf numFmtId="0" fontId="16" fillId="33" borderId="1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Histogram Distribusi Tekanan Darah Istirahat (Trestbps)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histogram!$C$24:$C$45</c:f>
              <c:strCache>
                <c:ptCount val="19"/>
                <c:pt idx="0">
                  <c:v>94–99</c:v>
                </c:pt>
                <c:pt idx="1">
                  <c:v>100–105</c:v>
                </c:pt>
                <c:pt idx="2">
                  <c:v>106–111</c:v>
                </c:pt>
                <c:pt idx="3">
                  <c:v>112–117</c:v>
                </c:pt>
                <c:pt idx="4">
                  <c:v>118–123</c:v>
                </c:pt>
                <c:pt idx="5">
                  <c:v>124–129</c:v>
                </c:pt>
                <c:pt idx="6">
                  <c:v>130–135</c:v>
                </c:pt>
                <c:pt idx="7">
                  <c:v>136–141</c:v>
                </c:pt>
                <c:pt idx="8">
                  <c:v>142–147</c:v>
                </c:pt>
                <c:pt idx="9">
                  <c:v>148–153</c:v>
                </c:pt>
                <c:pt idx="10">
                  <c:v>154–159</c:v>
                </c:pt>
                <c:pt idx="11">
                  <c:v>160–165</c:v>
                </c:pt>
                <c:pt idx="12">
                  <c:v>166–171</c:v>
                </c:pt>
                <c:pt idx="13">
                  <c:v>172–177</c:v>
                </c:pt>
                <c:pt idx="14">
                  <c:v>178–183</c:v>
                </c:pt>
                <c:pt idx="15">
                  <c:v>184–189</c:v>
                </c:pt>
                <c:pt idx="16">
                  <c:v>190–195</c:v>
                </c:pt>
                <c:pt idx="17">
                  <c:v>196–201</c:v>
                </c:pt>
                <c:pt idx="18">
                  <c:v>202</c:v>
                </c:pt>
              </c:strCache>
            </c:strRef>
          </c:cat>
          <c:val>
            <c:numRef>
              <c:f>histogram!$B$24:$B$45</c:f>
              <c:numCache>
                <c:formatCode>General</c:formatCode>
                <c:ptCount val="22"/>
                <c:pt idx="0">
                  <c:v>2</c:v>
                </c:pt>
                <c:pt idx="1">
                  <c:v>11</c:v>
                </c:pt>
                <c:pt idx="2">
                  <c:v>26</c:v>
                </c:pt>
                <c:pt idx="3">
                  <c:v>14</c:v>
                </c:pt>
                <c:pt idx="4">
                  <c:v>49</c:v>
                </c:pt>
                <c:pt idx="5">
                  <c:v>33</c:v>
                </c:pt>
                <c:pt idx="6">
                  <c:v>55</c:v>
                </c:pt>
                <c:pt idx="7">
                  <c:v>47</c:v>
                </c:pt>
                <c:pt idx="8">
                  <c:v>12</c:v>
                </c:pt>
                <c:pt idx="9">
                  <c:v>24</c:v>
                </c:pt>
                <c:pt idx="10">
                  <c:v>3</c:v>
                </c:pt>
                <c:pt idx="11">
                  <c:v>13</c:v>
                </c:pt>
                <c:pt idx="12">
                  <c:v>4</c:v>
                </c:pt>
                <c:pt idx="13">
                  <c:v>2</c:v>
                </c:pt>
                <c:pt idx="14">
                  <c:v>5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AF-4A3B-8338-C67A7DF22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shape val="box"/>
        <c:axId val="768183600"/>
        <c:axId val="768182160"/>
        <c:axId val="0"/>
      </c:bar3DChart>
      <c:catAx>
        <c:axId val="76818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82160"/>
        <c:crosses val="autoZero"/>
        <c:auto val="1"/>
        <c:lblAlgn val="ctr"/>
        <c:lblOffset val="100"/>
        <c:noMultiLvlLbl val="0"/>
      </c:catAx>
      <c:valAx>
        <c:axId val="76818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83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 Distribusi Serum Cholesterol (Chol)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histogram!$C$47:$C$74</c:f>
              <c:strCache>
                <c:ptCount val="25"/>
                <c:pt idx="0">
                  <c:v>126–144</c:v>
                </c:pt>
                <c:pt idx="1">
                  <c:v>145–163</c:v>
                </c:pt>
                <c:pt idx="2">
                  <c:v>164–182</c:v>
                </c:pt>
                <c:pt idx="3">
                  <c:v>183–201</c:v>
                </c:pt>
                <c:pt idx="4">
                  <c:v>202–220</c:v>
                </c:pt>
                <c:pt idx="5">
                  <c:v>221–239</c:v>
                </c:pt>
                <c:pt idx="6">
                  <c:v>240–258</c:v>
                </c:pt>
                <c:pt idx="7">
                  <c:v>259–277</c:v>
                </c:pt>
                <c:pt idx="8">
                  <c:v>278–296</c:v>
                </c:pt>
                <c:pt idx="9">
                  <c:v>297–315</c:v>
                </c:pt>
                <c:pt idx="10">
                  <c:v>316–334</c:v>
                </c:pt>
                <c:pt idx="11">
                  <c:v>335–353</c:v>
                </c:pt>
                <c:pt idx="12">
                  <c:v>354–372</c:v>
                </c:pt>
                <c:pt idx="13">
                  <c:v>373–391</c:v>
                </c:pt>
                <c:pt idx="14">
                  <c:v>392–410</c:v>
                </c:pt>
                <c:pt idx="15">
                  <c:v>411–429</c:v>
                </c:pt>
                <c:pt idx="16">
                  <c:v>430–448</c:v>
                </c:pt>
                <c:pt idx="17">
                  <c:v>449–467</c:v>
                </c:pt>
                <c:pt idx="18">
                  <c:v>468–486</c:v>
                </c:pt>
                <c:pt idx="19">
                  <c:v>487–505</c:v>
                </c:pt>
                <c:pt idx="20">
                  <c:v>506–524</c:v>
                </c:pt>
                <c:pt idx="21">
                  <c:v>525–543</c:v>
                </c:pt>
                <c:pt idx="22">
                  <c:v>544–562</c:v>
                </c:pt>
                <c:pt idx="23">
                  <c:v>563–581</c:v>
                </c:pt>
                <c:pt idx="24">
                  <c:v>582</c:v>
                </c:pt>
              </c:strCache>
            </c:strRef>
          </c:cat>
          <c:val>
            <c:numRef>
              <c:f>histogram!$B$47:$B$74</c:f>
              <c:numCache>
                <c:formatCode>General</c:formatCode>
                <c:ptCount val="28"/>
                <c:pt idx="0">
                  <c:v>3</c:v>
                </c:pt>
                <c:pt idx="1">
                  <c:v>4</c:v>
                </c:pt>
                <c:pt idx="2">
                  <c:v>17</c:v>
                </c:pt>
                <c:pt idx="3">
                  <c:v>29</c:v>
                </c:pt>
                <c:pt idx="4">
                  <c:v>45</c:v>
                </c:pt>
                <c:pt idx="5">
                  <c:v>49</c:v>
                </c:pt>
                <c:pt idx="6">
                  <c:v>46</c:v>
                </c:pt>
                <c:pt idx="7">
                  <c:v>38</c:v>
                </c:pt>
                <c:pt idx="8">
                  <c:v>23</c:v>
                </c:pt>
                <c:pt idx="9">
                  <c:v>24</c:v>
                </c:pt>
                <c:pt idx="10">
                  <c:v>11</c:v>
                </c:pt>
                <c:pt idx="11">
                  <c:v>6</c:v>
                </c:pt>
                <c:pt idx="12">
                  <c:v>2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95-4CF6-8BA7-92DA4CA26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shape val="box"/>
        <c:axId val="540184736"/>
        <c:axId val="540184376"/>
        <c:axId val="0"/>
      </c:bar3DChart>
      <c:catAx>
        <c:axId val="54018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184376"/>
        <c:crosses val="autoZero"/>
        <c:auto val="1"/>
        <c:lblAlgn val="ctr"/>
        <c:lblOffset val="100"/>
        <c:noMultiLvlLbl val="0"/>
      </c:catAx>
      <c:valAx>
        <c:axId val="540184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184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Histogram Distribusi Maximum Heart Rate (Thalach)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histogram!$C$76:$C$95</c:f>
              <c:strCache>
                <c:ptCount val="15"/>
                <c:pt idx="0">
                  <c:v>71–80</c:v>
                </c:pt>
                <c:pt idx="1">
                  <c:v>81–90</c:v>
                </c:pt>
                <c:pt idx="2">
                  <c:v>91–100</c:v>
                </c:pt>
                <c:pt idx="3">
                  <c:v>101–110</c:v>
                </c:pt>
                <c:pt idx="4">
                  <c:v>111–120</c:v>
                </c:pt>
                <c:pt idx="5">
                  <c:v>121–130</c:v>
                </c:pt>
                <c:pt idx="6">
                  <c:v>131–140</c:v>
                </c:pt>
                <c:pt idx="7">
                  <c:v>141–150</c:v>
                </c:pt>
                <c:pt idx="8">
                  <c:v>151–160</c:v>
                </c:pt>
                <c:pt idx="9">
                  <c:v>161–170</c:v>
                </c:pt>
                <c:pt idx="10">
                  <c:v>171–180</c:v>
                </c:pt>
                <c:pt idx="11">
                  <c:v>181–190</c:v>
                </c:pt>
                <c:pt idx="12">
                  <c:v>191–200</c:v>
                </c:pt>
                <c:pt idx="13">
                  <c:v>201–210</c:v>
                </c:pt>
                <c:pt idx="14">
                  <c:v>211</c:v>
                </c:pt>
              </c:strCache>
            </c:strRef>
          </c:cat>
          <c:val>
            <c:numRef>
              <c:f>histogram!$B$76:$B$95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19</c:v>
                </c:pt>
                <c:pt idx="5">
                  <c:v>26</c:v>
                </c:pt>
                <c:pt idx="6">
                  <c:v>28</c:v>
                </c:pt>
                <c:pt idx="7">
                  <c:v>48</c:v>
                </c:pt>
                <c:pt idx="8">
                  <c:v>54</c:v>
                </c:pt>
                <c:pt idx="9">
                  <c:v>52</c:v>
                </c:pt>
                <c:pt idx="10">
                  <c:v>39</c:v>
                </c:pt>
                <c:pt idx="11">
                  <c:v>14</c:v>
                </c:pt>
                <c:pt idx="12">
                  <c:v>3</c:v>
                </c:pt>
                <c:pt idx="13">
                  <c:v>1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02-4D62-8C4A-006303016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shape val="box"/>
        <c:axId val="351819704"/>
        <c:axId val="542365112"/>
        <c:axId val="0"/>
      </c:bar3DChart>
      <c:catAx>
        <c:axId val="351819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365112"/>
        <c:crosses val="autoZero"/>
        <c:auto val="1"/>
        <c:lblAlgn val="ctr"/>
        <c:lblOffset val="100"/>
        <c:noMultiLvlLbl val="0"/>
      </c:catAx>
      <c:valAx>
        <c:axId val="542365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819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 Distribusi Usia Pasien (Age)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histogram!$C$2:$C$19</c:f>
              <c:strCache>
                <c:ptCount val="13"/>
                <c:pt idx="0">
                  <c:v>29–32</c:v>
                </c:pt>
                <c:pt idx="1">
                  <c:v>33–36</c:v>
                </c:pt>
                <c:pt idx="2">
                  <c:v>37–40</c:v>
                </c:pt>
                <c:pt idx="3">
                  <c:v>41–44</c:v>
                </c:pt>
                <c:pt idx="4">
                  <c:v>45–48</c:v>
                </c:pt>
                <c:pt idx="5">
                  <c:v>49–52</c:v>
                </c:pt>
                <c:pt idx="6">
                  <c:v>53–56</c:v>
                </c:pt>
                <c:pt idx="7">
                  <c:v>57–60</c:v>
                </c:pt>
                <c:pt idx="8">
                  <c:v>61–64</c:v>
                </c:pt>
                <c:pt idx="9">
                  <c:v>65–68</c:v>
                </c:pt>
                <c:pt idx="10">
                  <c:v>69–72</c:v>
                </c:pt>
                <c:pt idx="11">
                  <c:v>73–76</c:v>
                </c:pt>
                <c:pt idx="12">
                  <c:v>77</c:v>
                </c:pt>
              </c:strCache>
            </c:strRef>
          </c:cat>
          <c:val>
            <c:numRef>
              <c:f>histogram!$B$2:$B$19</c:f>
              <c:numCache>
                <c:formatCode>General</c:formatCode>
                <c:ptCount val="18"/>
                <c:pt idx="0">
                  <c:v>1</c:v>
                </c:pt>
                <c:pt idx="1">
                  <c:v>6</c:v>
                </c:pt>
                <c:pt idx="2">
                  <c:v>11</c:v>
                </c:pt>
                <c:pt idx="3">
                  <c:v>37</c:v>
                </c:pt>
                <c:pt idx="4">
                  <c:v>27</c:v>
                </c:pt>
                <c:pt idx="5">
                  <c:v>37</c:v>
                </c:pt>
                <c:pt idx="6">
                  <c:v>43</c:v>
                </c:pt>
                <c:pt idx="7">
                  <c:v>61</c:v>
                </c:pt>
                <c:pt idx="8">
                  <c:v>38</c:v>
                </c:pt>
                <c:pt idx="9">
                  <c:v>28</c:v>
                </c:pt>
                <c:pt idx="10">
                  <c:v>10</c:v>
                </c:pt>
                <c:pt idx="11">
                  <c:v>2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00-481C-A493-7A5DA2ABC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shape val="box"/>
        <c:axId val="541864056"/>
        <c:axId val="541864776"/>
        <c:axId val="0"/>
      </c:bar3DChart>
      <c:catAx>
        <c:axId val="541864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864776"/>
        <c:crosses val="autoZero"/>
        <c:auto val="1"/>
        <c:lblAlgn val="ctr"/>
        <c:lblOffset val="100"/>
        <c:noMultiLvlLbl val="0"/>
      </c:catAx>
      <c:valAx>
        <c:axId val="541864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864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Histogram Distribusi ST Depression (Oldpeak)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histogram!$C$98:$C$117</c:f>
              <c:strCache>
                <c:ptCount val="14"/>
                <c:pt idx="0">
                  <c:v>0–0,47</c:v>
                </c:pt>
                <c:pt idx="1">
                  <c:v>0,48–0,94</c:v>
                </c:pt>
                <c:pt idx="2">
                  <c:v>0,95–1,42</c:v>
                </c:pt>
                <c:pt idx="3">
                  <c:v>1,43–1,9</c:v>
                </c:pt>
                <c:pt idx="4">
                  <c:v>1,91–2,37</c:v>
                </c:pt>
                <c:pt idx="5">
                  <c:v>2,38–2,85</c:v>
                </c:pt>
                <c:pt idx="6">
                  <c:v>2,86–3,33</c:v>
                </c:pt>
                <c:pt idx="7">
                  <c:v>3,34–3,81</c:v>
                </c:pt>
                <c:pt idx="8">
                  <c:v>3,82–4,28</c:v>
                </c:pt>
                <c:pt idx="9">
                  <c:v>4,29–4,76</c:v>
                </c:pt>
                <c:pt idx="10">
                  <c:v>4,77–5,24</c:v>
                </c:pt>
                <c:pt idx="11">
                  <c:v>5,25–5,71</c:v>
                </c:pt>
                <c:pt idx="12">
                  <c:v>5,72–6,19</c:v>
                </c:pt>
                <c:pt idx="13">
                  <c:v>6,20</c:v>
                </c:pt>
              </c:strCache>
            </c:strRef>
          </c:cat>
          <c:val>
            <c:numRef>
              <c:f>histogram!$B$98:$B$117</c:f>
              <c:numCache>
                <c:formatCode>General</c:formatCode>
                <c:ptCount val="20"/>
                <c:pt idx="0">
                  <c:v>129</c:v>
                </c:pt>
                <c:pt idx="1">
                  <c:v>36</c:v>
                </c:pt>
                <c:pt idx="2">
                  <c:v>47</c:v>
                </c:pt>
                <c:pt idx="3">
                  <c:v>31</c:v>
                </c:pt>
                <c:pt idx="4">
                  <c:v>16</c:v>
                </c:pt>
                <c:pt idx="5">
                  <c:v>17</c:v>
                </c:pt>
                <c:pt idx="6">
                  <c:v>9</c:v>
                </c:pt>
                <c:pt idx="7">
                  <c:v>9</c:v>
                </c:pt>
                <c:pt idx="8">
                  <c:v>5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D-4E2C-AF93-465B775CF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shape val="box"/>
        <c:axId val="1074619496"/>
        <c:axId val="1074618056"/>
        <c:axId val="0"/>
      </c:bar3DChart>
      <c:catAx>
        <c:axId val="1074619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618056"/>
        <c:crosses val="autoZero"/>
        <c:auto val="1"/>
        <c:lblAlgn val="ctr"/>
        <c:lblOffset val="100"/>
        <c:noMultiLvlLbl val="0"/>
      </c:catAx>
      <c:valAx>
        <c:axId val="1074618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619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_xlchart.v1.8</cx:f>
      </cx:numDim>
    </cx:data>
  </cx:chartData>
  <cx:chart>
    <cx:title pos="t" align="ctr" overlay="0">
      <cx:tx>
        <cx:txData>
          <cx:v>Boxplot Variabel Trestbps dan Chol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Boxplot Variabel Trestbps dan Chol</a:t>
          </a:r>
        </a:p>
      </cx:txPr>
    </cx:title>
    <cx:plotArea>
      <cx:plotAreaRegion>
        <cx:series layoutId="boxWhisker" uniqueId="{CF7AC7A6-7CF7-4E56-8BED-117361F37D89}">
          <cx:tx>
            <cx:txData>
              <cx:f>_xlchart.v1.3</cx:f>
              <cx:v>trestbps</cx:v>
            </cx:txData>
          </cx:tx>
          <cx:dataId val="0"/>
          <cx:layoutPr>
            <cx:statistics quartileMethod="exclusive"/>
          </cx:layoutPr>
        </cx:series>
        <cx:series layoutId="boxWhisker" uniqueId="{BE917442-5446-40CD-92EE-B71F427B96C2}">
          <cx:tx>
            <cx:txData>
              <cx:f>_xlchart.v1.6</cx:f>
              <cx:v>chol</cx:v>
            </cx:txData>
          </cx:tx>
          <cx:dataId val="1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Boxplot Variabel Oldpeak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Boxplot Variabel Oldpeak</a:t>
          </a:r>
        </a:p>
      </cx:txPr>
    </cx:title>
    <cx:plotArea>
      <cx:plotAreaRegion>
        <cx:series layoutId="boxWhisker" uniqueId="{BE8BDE16-3D9B-43A2-8246-BBA9712B059F}">
          <cx:tx>
            <cx:txData>
              <cx:f>_xlchart.v1.0</cx:f>
              <cx:v>oldpeak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24</xdr:row>
      <xdr:rowOff>9525</xdr:rowOff>
    </xdr:from>
    <xdr:to>
      <xdr:col>18</xdr:col>
      <xdr:colOff>28575</xdr:colOff>
      <xdr:row>41</xdr:row>
      <xdr:rowOff>9525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AE44ACE-1478-1E03-12C6-EEBB565473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9524</xdr:colOff>
      <xdr:row>47</xdr:row>
      <xdr:rowOff>14286</xdr:rowOff>
    </xdr:from>
    <xdr:to>
      <xdr:col>18</xdr:col>
      <xdr:colOff>9524</xdr:colOff>
      <xdr:row>64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7EEA75-1120-7F0B-93D0-B4AF936835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76</xdr:row>
      <xdr:rowOff>14287</xdr:rowOff>
    </xdr:from>
    <xdr:to>
      <xdr:col>18</xdr:col>
      <xdr:colOff>9525</xdr:colOff>
      <xdr:row>93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23BAC7-4C6B-096C-AEAA-129F55B54C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9525</xdr:colOff>
      <xdr:row>2</xdr:row>
      <xdr:rowOff>4762</xdr:rowOff>
    </xdr:from>
    <xdr:to>
      <xdr:col>18</xdr:col>
      <xdr:colOff>19050</xdr:colOff>
      <xdr:row>19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1F35F63-2F30-B9EA-11F4-19FE041E1C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600074</xdr:colOff>
      <xdr:row>98</xdr:row>
      <xdr:rowOff>4761</xdr:rowOff>
    </xdr:from>
    <xdr:to>
      <xdr:col>17</xdr:col>
      <xdr:colOff>600074</xdr:colOff>
      <xdr:row>115</xdr:row>
      <xdr:rowOff>9524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3E2A154-DE9F-81E3-06D8-F32FA768B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54B392A9-942A-4E84-B6A8-58C675CFE0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0" y="190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BAC293C7-D5C7-43EC-99E1-FCD515E6C4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86400" y="190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895BE-48B9-43F5-A5EA-4279D073818B}">
  <dimension ref="A1:N303"/>
  <sheetViews>
    <sheetView workbookViewId="0">
      <pane ySplit="1" topLeftCell="A2" activePane="bottomLeft" state="frozen"/>
      <selection pane="bottomLeft" activeCell="J1015" sqref="J1015"/>
    </sheetView>
  </sheetViews>
  <sheetFormatPr defaultRowHeight="15" x14ac:dyDescent="0.25"/>
  <cols>
    <col min="1" max="2" width="8.7109375" style="20" bestFit="1" customWidth="1"/>
    <col min="3" max="3" width="7.7109375" style="20" bestFit="1" customWidth="1"/>
    <col min="4" max="4" width="13.140625" style="20" bestFit="1" customWidth="1"/>
    <col min="5" max="5" width="9.42578125" style="20" bestFit="1" customWidth="1"/>
    <col min="6" max="6" width="8.42578125" style="20" bestFit="1" customWidth="1"/>
    <col min="7" max="7" width="12.28515625" style="20" bestFit="1" customWidth="1"/>
    <col min="8" max="8" width="12.140625" style="20" bestFit="1" customWidth="1"/>
    <col min="9" max="9" width="10.85546875" style="20" bestFit="1" customWidth="1"/>
    <col min="10" max="10" width="12.7109375" style="20" bestFit="1" customWidth="1"/>
    <col min="11" max="11" width="10.5703125" style="20" bestFit="1" customWidth="1"/>
    <col min="12" max="12" width="7.5703125" style="20" bestFit="1" customWidth="1"/>
    <col min="13" max="13" width="9" style="20" bestFit="1" customWidth="1"/>
    <col min="14" max="14" width="10.85546875" style="20" bestFit="1" customWidth="1"/>
    <col min="15" max="16384" width="9.140625" style="21"/>
  </cols>
  <sheetData>
    <row r="1" spans="1:14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customFormat="1" x14ac:dyDescent="0.25">
      <c r="A2" s="2">
        <v>52</v>
      </c>
      <c r="B2" s="2">
        <v>1</v>
      </c>
      <c r="C2" s="2">
        <v>0</v>
      </c>
      <c r="D2" s="2">
        <v>125</v>
      </c>
      <c r="E2" s="2">
        <v>212</v>
      </c>
      <c r="F2" s="2">
        <v>0</v>
      </c>
      <c r="G2" s="2">
        <v>1</v>
      </c>
      <c r="H2" s="2">
        <v>168</v>
      </c>
      <c r="I2" s="2">
        <v>0</v>
      </c>
      <c r="J2" s="2">
        <v>1</v>
      </c>
      <c r="K2" s="2">
        <v>2</v>
      </c>
      <c r="L2" s="2">
        <v>2</v>
      </c>
      <c r="M2" s="2">
        <v>3</v>
      </c>
      <c r="N2" s="2">
        <v>0</v>
      </c>
    </row>
    <row r="3" spans="1:14" customFormat="1" x14ac:dyDescent="0.25">
      <c r="A3" s="2">
        <v>53</v>
      </c>
      <c r="B3" s="2">
        <v>1</v>
      </c>
      <c r="C3" s="2">
        <v>0</v>
      </c>
      <c r="D3" s="2">
        <v>140</v>
      </c>
      <c r="E3" s="2">
        <v>203</v>
      </c>
      <c r="F3" s="2">
        <v>1</v>
      </c>
      <c r="G3" s="2">
        <v>0</v>
      </c>
      <c r="H3" s="2">
        <v>155</v>
      </c>
      <c r="I3" s="2">
        <v>1</v>
      </c>
      <c r="J3" s="2">
        <v>3.1</v>
      </c>
      <c r="K3" s="2">
        <v>0</v>
      </c>
      <c r="L3" s="2">
        <v>0</v>
      </c>
      <c r="M3" s="2">
        <v>3</v>
      </c>
      <c r="N3" s="2">
        <v>0</v>
      </c>
    </row>
    <row r="4" spans="1:14" customFormat="1" x14ac:dyDescent="0.25">
      <c r="A4" s="2">
        <v>70</v>
      </c>
      <c r="B4" s="2">
        <v>1</v>
      </c>
      <c r="C4" s="2">
        <v>0</v>
      </c>
      <c r="D4" s="2">
        <v>145</v>
      </c>
      <c r="E4" s="2">
        <v>174</v>
      </c>
      <c r="F4" s="2">
        <v>0</v>
      </c>
      <c r="G4" s="2">
        <v>1</v>
      </c>
      <c r="H4" s="2">
        <v>125</v>
      </c>
      <c r="I4" s="2">
        <v>1</v>
      </c>
      <c r="J4" s="2">
        <v>2.6</v>
      </c>
      <c r="K4" s="2">
        <v>0</v>
      </c>
      <c r="L4" s="2">
        <v>0</v>
      </c>
      <c r="M4" s="2">
        <v>3</v>
      </c>
      <c r="N4" s="2">
        <v>0</v>
      </c>
    </row>
    <row r="5" spans="1:14" customFormat="1" x14ac:dyDescent="0.25">
      <c r="A5" s="2">
        <v>61</v>
      </c>
      <c r="B5" s="2">
        <v>1</v>
      </c>
      <c r="C5" s="2">
        <v>0</v>
      </c>
      <c r="D5" s="2">
        <v>148</v>
      </c>
      <c r="E5" s="2">
        <v>203</v>
      </c>
      <c r="F5" s="2">
        <v>0</v>
      </c>
      <c r="G5" s="2">
        <v>1</v>
      </c>
      <c r="H5" s="2">
        <v>161</v>
      </c>
      <c r="I5" s="2">
        <v>0</v>
      </c>
      <c r="J5" s="2">
        <v>0</v>
      </c>
      <c r="K5" s="2">
        <v>2</v>
      </c>
      <c r="L5" s="2">
        <v>1</v>
      </c>
      <c r="M5" s="2">
        <v>3</v>
      </c>
      <c r="N5" s="2">
        <v>0</v>
      </c>
    </row>
    <row r="6" spans="1:14" customFormat="1" x14ac:dyDescent="0.25">
      <c r="A6" s="2">
        <v>62</v>
      </c>
      <c r="B6" s="2">
        <v>0</v>
      </c>
      <c r="C6" s="2">
        <v>0</v>
      </c>
      <c r="D6" s="2">
        <v>138</v>
      </c>
      <c r="E6" s="2">
        <v>294</v>
      </c>
      <c r="F6" s="2">
        <v>1</v>
      </c>
      <c r="G6" s="2">
        <v>1</v>
      </c>
      <c r="H6" s="2">
        <v>106</v>
      </c>
      <c r="I6" s="2">
        <v>0</v>
      </c>
      <c r="J6" s="2">
        <v>1.9</v>
      </c>
      <c r="K6" s="2">
        <v>1</v>
      </c>
      <c r="L6" s="2">
        <v>3</v>
      </c>
      <c r="M6" s="2">
        <v>2</v>
      </c>
      <c r="N6" s="2">
        <v>0</v>
      </c>
    </row>
    <row r="7" spans="1:14" customFormat="1" x14ac:dyDescent="0.25">
      <c r="A7" s="2">
        <v>58</v>
      </c>
      <c r="B7" s="2">
        <v>0</v>
      </c>
      <c r="C7" s="2">
        <v>0</v>
      </c>
      <c r="D7" s="2">
        <v>100</v>
      </c>
      <c r="E7" s="2">
        <v>248</v>
      </c>
      <c r="F7" s="2">
        <v>0</v>
      </c>
      <c r="G7" s="2">
        <v>0</v>
      </c>
      <c r="H7" s="2">
        <v>122</v>
      </c>
      <c r="I7" s="2">
        <v>0</v>
      </c>
      <c r="J7" s="2">
        <v>1</v>
      </c>
      <c r="K7" s="2">
        <v>1</v>
      </c>
      <c r="L7" s="2">
        <v>0</v>
      </c>
      <c r="M7" s="2">
        <v>2</v>
      </c>
      <c r="N7" s="2">
        <v>1</v>
      </c>
    </row>
    <row r="8" spans="1:14" customFormat="1" x14ac:dyDescent="0.25">
      <c r="A8" s="2">
        <v>58</v>
      </c>
      <c r="B8" s="2">
        <v>1</v>
      </c>
      <c r="C8" s="2">
        <v>0</v>
      </c>
      <c r="D8" s="2">
        <v>114</v>
      </c>
      <c r="E8" s="2">
        <v>318</v>
      </c>
      <c r="F8" s="2">
        <v>0</v>
      </c>
      <c r="G8" s="2">
        <v>2</v>
      </c>
      <c r="H8" s="2">
        <v>140</v>
      </c>
      <c r="I8" s="2">
        <v>0</v>
      </c>
      <c r="J8" s="2">
        <v>4.4000000000000004</v>
      </c>
      <c r="K8" s="2">
        <v>0</v>
      </c>
      <c r="L8" s="2">
        <v>3</v>
      </c>
      <c r="M8" s="2">
        <v>1</v>
      </c>
      <c r="N8" s="2">
        <v>0</v>
      </c>
    </row>
    <row r="9" spans="1:14" customFormat="1" x14ac:dyDescent="0.25">
      <c r="A9" s="2">
        <v>55</v>
      </c>
      <c r="B9" s="2">
        <v>1</v>
      </c>
      <c r="C9" s="2">
        <v>0</v>
      </c>
      <c r="D9" s="2">
        <v>160</v>
      </c>
      <c r="E9" s="2">
        <v>289</v>
      </c>
      <c r="F9" s="2">
        <v>0</v>
      </c>
      <c r="G9" s="2">
        <v>0</v>
      </c>
      <c r="H9" s="2">
        <v>145</v>
      </c>
      <c r="I9" s="2">
        <v>1</v>
      </c>
      <c r="J9" s="2">
        <v>0.8</v>
      </c>
      <c r="K9" s="2">
        <v>1</v>
      </c>
      <c r="L9" s="2">
        <v>1</v>
      </c>
      <c r="M9" s="2">
        <v>3</v>
      </c>
      <c r="N9" s="2">
        <v>0</v>
      </c>
    </row>
    <row r="10" spans="1:14" customFormat="1" x14ac:dyDescent="0.25">
      <c r="A10" s="2">
        <v>46</v>
      </c>
      <c r="B10" s="2">
        <v>1</v>
      </c>
      <c r="C10" s="2">
        <v>0</v>
      </c>
      <c r="D10" s="2">
        <v>120</v>
      </c>
      <c r="E10" s="2">
        <v>249</v>
      </c>
      <c r="F10" s="2">
        <v>0</v>
      </c>
      <c r="G10" s="2">
        <v>0</v>
      </c>
      <c r="H10" s="2">
        <v>144</v>
      </c>
      <c r="I10" s="2">
        <v>0</v>
      </c>
      <c r="J10" s="2">
        <v>0.8</v>
      </c>
      <c r="K10" s="2">
        <v>2</v>
      </c>
      <c r="L10" s="2">
        <v>0</v>
      </c>
      <c r="M10" s="2">
        <v>3</v>
      </c>
      <c r="N10" s="2">
        <v>0</v>
      </c>
    </row>
    <row r="11" spans="1:14" customFormat="1" x14ac:dyDescent="0.25">
      <c r="A11" s="2">
        <v>54</v>
      </c>
      <c r="B11" s="2">
        <v>1</v>
      </c>
      <c r="C11" s="2">
        <v>0</v>
      </c>
      <c r="D11" s="2">
        <v>122</v>
      </c>
      <c r="E11" s="2">
        <v>286</v>
      </c>
      <c r="F11" s="2">
        <v>0</v>
      </c>
      <c r="G11" s="2">
        <v>0</v>
      </c>
      <c r="H11" s="2">
        <v>116</v>
      </c>
      <c r="I11" s="2">
        <v>1</v>
      </c>
      <c r="J11" s="2">
        <v>3.2</v>
      </c>
      <c r="K11" s="2">
        <v>1</v>
      </c>
      <c r="L11" s="2">
        <v>2</v>
      </c>
      <c r="M11" s="2">
        <v>2</v>
      </c>
      <c r="N11" s="2">
        <v>0</v>
      </c>
    </row>
    <row r="12" spans="1:14" customFormat="1" x14ac:dyDescent="0.25">
      <c r="A12" s="2">
        <v>71</v>
      </c>
      <c r="B12" s="2">
        <v>0</v>
      </c>
      <c r="C12" s="2">
        <v>0</v>
      </c>
      <c r="D12" s="2">
        <v>112</v>
      </c>
      <c r="E12" s="2">
        <v>149</v>
      </c>
      <c r="F12" s="2">
        <v>0</v>
      </c>
      <c r="G12" s="2">
        <v>1</v>
      </c>
      <c r="H12" s="2">
        <v>125</v>
      </c>
      <c r="I12" s="2">
        <v>0</v>
      </c>
      <c r="J12" s="2">
        <v>1.6</v>
      </c>
      <c r="K12" s="2">
        <v>1</v>
      </c>
      <c r="L12" s="2">
        <v>0</v>
      </c>
      <c r="M12" s="2">
        <v>2</v>
      </c>
      <c r="N12" s="2">
        <v>1</v>
      </c>
    </row>
    <row r="13" spans="1:14" customFormat="1" x14ac:dyDescent="0.25">
      <c r="A13" s="2">
        <v>43</v>
      </c>
      <c r="B13" s="2">
        <v>0</v>
      </c>
      <c r="C13" s="2">
        <v>0</v>
      </c>
      <c r="D13" s="2">
        <v>132</v>
      </c>
      <c r="E13" s="2">
        <v>341</v>
      </c>
      <c r="F13" s="2">
        <v>1</v>
      </c>
      <c r="G13" s="2">
        <v>0</v>
      </c>
      <c r="H13" s="2">
        <v>136</v>
      </c>
      <c r="I13" s="2">
        <v>1</v>
      </c>
      <c r="J13" s="2">
        <v>3</v>
      </c>
      <c r="K13" s="2">
        <v>1</v>
      </c>
      <c r="L13" s="2">
        <v>0</v>
      </c>
      <c r="M13" s="2">
        <v>3</v>
      </c>
      <c r="N13" s="2">
        <v>0</v>
      </c>
    </row>
    <row r="14" spans="1:14" customFormat="1" x14ac:dyDescent="0.25">
      <c r="A14" s="2">
        <v>34</v>
      </c>
      <c r="B14" s="2">
        <v>0</v>
      </c>
      <c r="C14" s="2">
        <v>1</v>
      </c>
      <c r="D14" s="2">
        <v>118</v>
      </c>
      <c r="E14" s="2">
        <v>210</v>
      </c>
      <c r="F14" s="2">
        <v>0</v>
      </c>
      <c r="G14" s="2">
        <v>1</v>
      </c>
      <c r="H14" s="2">
        <v>192</v>
      </c>
      <c r="I14" s="2">
        <v>0</v>
      </c>
      <c r="J14" s="2">
        <v>0.7</v>
      </c>
      <c r="K14" s="2">
        <v>2</v>
      </c>
      <c r="L14" s="2">
        <v>0</v>
      </c>
      <c r="M14" s="2">
        <v>2</v>
      </c>
      <c r="N14" s="2">
        <v>1</v>
      </c>
    </row>
    <row r="15" spans="1:14" customFormat="1" x14ac:dyDescent="0.25">
      <c r="A15" s="2">
        <v>51</v>
      </c>
      <c r="B15" s="2">
        <v>1</v>
      </c>
      <c r="C15" s="2">
        <v>0</v>
      </c>
      <c r="D15" s="2">
        <v>140</v>
      </c>
      <c r="E15" s="2">
        <v>298</v>
      </c>
      <c r="F15" s="2">
        <v>0</v>
      </c>
      <c r="G15" s="2">
        <v>1</v>
      </c>
      <c r="H15" s="2">
        <v>122</v>
      </c>
      <c r="I15" s="2">
        <v>1</v>
      </c>
      <c r="J15" s="2">
        <v>4.2</v>
      </c>
      <c r="K15" s="2">
        <v>1</v>
      </c>
      <c r="L15" s="2">
        <v>3</v>
      </c>
      <c r="M15" s="2">
        <v>3</v>
      </c>
      <c r="N15" s="2">
        <v>0</v>
      </c>
    </row>
    <row r="16" spans="1:14" customFormat="1" x14ac:dyDescent="0.25">
      <c r="A16" s="2">
        <v>52</v>
      </c>
      <c r="B16" s="2">
        <v>1</v>
      </c>
      <c r="C16" s="2">
        <v>0</v>
      </c>
      <c r="D16" s="2">
        <v>128</v>
      </c>
      <c r="E16" s="2">
        <v>204</v>
      </c>
      <c r="F16" s="2">
        <v>1</v>
      </c>
      <c r="G16" s="2">
        <v>1</v>
      </c>
      <c r="H16" s="2">
        <v>156</v>
      </c>
      <c r="I16" s="2">
        <v>1</v>
      </c>
      <c r="J16" s="2">
        <v>1</v>
      </c>
      <c r="K16" s="2">
        <v>1</v>
      </c>
      <c r="L16" s="2">
        <v>0</v>
      </c>
      <c r="M16" s="2">
        <v>0</v>
      </c>
      <c r="N16" s="2">
        <v>0</v>
      </c>
    </row>
    <row r="17" spans="1:14" customFormat="1" x14ac:dyDescent="0.25">
      <c r="A17" s="2">
        <v>51</v>
      </c>
      <c r="B17" s="2">
        <v>0</v>
      </c>
      <c r="C17" s="2">
        <v>2</v>
      </c>
      <c r="D17" s="2">
        <v>140</v>
      </c>
      <c r="E17" s="2">
        <v>308</v>
      </c>
      <c r="F17" s="2">
        <v>0</v>
      </c>
      <c r="G17" s="2">
        <v>0</v>
      </c>
      <c r="H17" s="2">
        <v>142</v>
      </c>
      <c r="I17" s="2">
        <v>0</v>
      </c>
      <c r="J17" s="2">
        <v>1.5</v>
      </c>
      <c r="K17" s="2">
        <v>2</v>
      </c>
      <c r="L17" s="2">
        <v>1</v>
      </c>
      <c r="M17" s="2">
        <v>2</v>
      </c>
      <c r="N17" s="2">
        <v>1</v>
      </c>
    </row>
    <row r="18" spans="1:14" customFormat="1" x14ac:dyDescent="0.25">
      <c r="A18" s="2">
        <v>54</v>
      </c>
      <c r="B18" s="2">
        <v>1</v>
      </c>
      <c r="C18" s="2">
        <v>0</v>
      </c>
      <c r="D18" s="2">
        <v>124</v>
      </c>
      <c r="E18" s="2">
        <v>266</v>
      </c>
      <c r="F18" s="2">
        <v>0</v>
      </c>
      <c r="G18" s="2">
        <v>0</v>
      </c>
      <c r="H18" s="2">
        <v>109</v>
      </c>
      <c r="I18" s="2">
        <v>1</v>
      </c>
      <c r="J18" s="2">
        <v>2.2000000000000002</v>
      </c>
      <c r="K18" s="2">
        <v>1</v>
      </c>
      <c r="L18" s="2">
        <v>1</v>
      </c>
      <c r="M18" s="2">
        <v>3</v>
      </c>
      <c r="N18" s="2">
        <v>0</v>
      </c>
    </row>
    <row r="19" spans="1:14" customFormat="1" x14ac:dyDescent="0.25">
      <c r="A19" s="2">
        <v>50</v>
      </c>
      <c r="B19" s="2">
        <v>0</v>
      </c>
      <c r="C19" s="2">
        <v>1</v>
      </c>
      <c r="D19" s="2">
        <v>120</v>
      </c>
      <c r="E19" s="2">
        <v>244</v>
      </c>
      <c r="F19" s="2">
        <v>0</v>
      </c>
      <c r="G19" s="2">
        <v>1</v>
      </c>
      <c r="H19" s="2">
        <v>162</v>
      </c>
      <c r="I19" s="2">
        <v>0</v>
      </c>
      <c r="J19" s="2">
        <v>1.1000000000000001</v>
      </c>
      <c r="K19" s="2">
        <v>2</v>
      </c>
      <c r="L19" s="2">
        <v>0</v>
      </c>
      <c r="M19" s="2">
        <v>2</v>
      </c>
      <c r="N19" s="2">
        <v>1</v>
      </c>
    </row>
    <row r="20" spans="1:14" customFormat="1" x14ac:dyDescent="0.25">
      <c r="A20" s="2">
        <v>58</v>
      </c>
      <c r="B20" s="2">
        <v>1</v>
      </c>
      <c r="C20" s="2">
        <v>2</v>
      </c>
      <c r="D20" s="2">
        <v>140</v>
      </c>
      <c r="E20" s="2">
        <v>211</v>
      </c>
      <c r="F20" s="2">
        <v>1</v>
      </c>
      <c r="G20" s="2">
        <v>0</v>
      </c>
      <c r="H20" s="2">
        <v>165</v>
      </c>
      <c r="I20" s="2">
        <v>0</v>
      </c>
      <c r="J20" s="2">
        <v>0</v>
      </c>
      <c r="K20" s="2">
        <v>2</v>
      </c>
      <c r="L20" s="2">
        <v>0</v>
      </c>
      <c r="M20" s="2">
        <v>2</v>
      </c>
      <c r="N20" s="2">
        <v>1</v>
      </c>
    </row>
    <row r="21" spans="1:14" customFormat="1" x14ac:dyDescent="0.25">
      <c r="A21" s="2">
        <v>60</v>
      </c>
      <c r="B21" s="2">
        <v>1</v>
      </c>
      <c r="C21" s="2">
        <v>2</v>
      </c>
      <c r="D21" s="2">
        <v>140</v>
      </c>
      <c r="E21" s="2">
        <v>185</v>
      </c>
      <c r="F21" s="2">
        <v>0</v>
      </c>
      <c r="G21" s="2">
        <v>0</v>
      </c>
      <c r="H21" s="2">
        <v>155</v>
      </c>
      <c r="I21" s="2">
        <v>0</v>
      </c>
      <c r="J21" s="2">
        <v>3</v>
      </c>
      <c r="K21" s="2">
        <v>1</v>
      </c>
      <c r="L21" s="2">
        <v>0</v>
      </c>
      <c r="M21" s="2">
        <v>2</v>
      </c>
      <c r="N21" s="2">
        <v>0</v>
      </c>
    </row>
    <row r="22" spans="1:14" customFormat="1" x14ac:dyDescent="0.25">
      <c r="A22" s="2">
        <v>67</v>
      </c>
      <c r="B22" s="2">
        <v>0</v>
      </c>
      <c r="C22" s="2">
        <v>0</v>
      </c>
      <c r="D22" s="2">
        <v>106</v>
      </c>
      <c r="E22" s="2">
        <v>223</v>
      </c>
      <c r="F22" s="2">
        <v>0</v>
      </c>
      <c r="G22" s="2">
        <v>1</v>
      </c>
      <c r="H22" s="2">
        <v>142</v>
      </c>
      <c r="I22" s="2">
        <v>0</v>
      </c>
      <c r="J22" s="2">
        <v>0.3</v>
      </c>
      <c r="K22" s="2">
        <v>2</v>
      </c>
      <c r="L22" s="2">
        <v>2</v>
      </c>
      <c r="M22" s="2">
        <v>2</v>
      </c>
      <c r="N22" s="2">
        <v>1</v>
      </c>
    </row>
    <row r="23" spans="1:14" customFormat="1" x14ac:dyDescent="0.25">
      <c r="A23" s="2">
        <v>45</v>
      </c>
      <c r="B23" s="2">
        <v>1</v>
      </c>
      <c r="C23" s="2">
        <v>0</v>
      </c>
      <c r="D23" s="2">
        <v>104</v>
      </c>
      <c r="E23" s="2">
        <v>208</v>
      </c>
      <c r="F23" s="2">
        <v>0</v>
      </c>
      <c r="G23" s="2">
        <v>0</v>
      </c>
      <c r="H23" s="2">
        <v>148</v>
      </c>
      <c r="I23" s="2">
        <v>1</v>
      </c>
      <c r="J23" s="2">
        <v>3</v>
      </c>
      <c r="K23" s="2">
        <v>1</v>
      </c>
      <c r="L23" s="2">
        <v>0</v>
      </c>
      <c r="M23" s="2">
        <v>2</v>
      </c>
      <c r="N23" s="2">
        <v>1</v>
      </c>
    </row>
    <row r="24" spans="1:14" customFormat="1" x14ac:dyDescent="0.25">
      <c r="A24" s="2">
        <v>63</v>
      </c>
      <c r="B24" s="2">
        <v>0</v>
      </c>
      <c r="C24" s="2">
        <v>2</v>
      </c>
      <c r="D24" s="2">
        <v>135</v>
      </c>
      <c r="E24" s="2">
        <v>252</v>
      </c>
      <c r="F24" s="2">
        <v>0</v>
      </c>
      <c r="G24" s="2">
        <v>0</v>
      </c>
      <c r="H24" s="2">
        <v>172</v>
      </c>
      <c r="I24" s="2">
        <v>0</v>
      </c>
      <c r="J24" s="2">
        <v>0</v>
      </c>
      <c r="K24" s="2">
        <v>2</v>
      </c>
      <c r="L24" s="2">
        <v>0</v>
      </c>
      <c r="M24" s="2">
        <v>2</v>
      </c>
      <c r="N24" s="2">
        <v>1</v>
      </c>
    </row>
    <row r="25" spans="1:14" customFormat="1" x14ac:dyDescent="0.25">
      <c r="A25" s="2">
        <v>42</v>
      </c>
      <c r="B25" s="2">
        <v>0</v>
      </c>
      <c r="C25" s="2">
        <v>2</v>
      </c>
      <c r="D25" s="2">
        <v>120</v>
      </c>
      <c r="E25" s="2">
        <v>209</v>
      </c>
      <c r="F25" s="2">
        <v>0</v>
      </c>
      <c r="G25" s="2">
        <v>1</v>
      </c>
      <c r="H25" s="2">
        <v>173</v>
      </c>
      <c r="I25" s="2">
        <v>0</v>
      </c>
      <c r="J25" s="2">
        <v>0</v>
      </c>
      <c r="K25" s="2">
        <v>1</v>
      </c>
      <c r="L25" s="2">
        <v>0</v>
      </c>
      <c r="M25" s="2">
        <v>2</v>
      </c>
      <c r="N25" s="2">
        <v>1</v>
      </c>
    </row>
    <row r="26" spans="1:14" customFormat="1" x14ac:dyDescent="0.25">
      <c r="A26" s="2">
        <v>61</v>
      </c>
      <c r="B26" s="2">
        <v>0</v>
      </c>
      <c r="C26" s="2">
        <v>0</v>
      </c>
      <c r="D26" s="2">
        <v>145</v>
      </c>
      <c r="E26" s="2">
        <v>307</v>
      </c>
      <c r="F26" s="2">
        <v>0</v>
      </c>
      <c r="G26" s="2">
        <v>0</v>
      </c>
      <c r="H26" s="2">
        <v>146</v>
      </c>
      <c r="I26" s="2">
        <v>1</v>
      </c>
      <c r="J26" s="2">
        <v>1</v>
      </c>
      <c r="K26" s="2">
        <v>1</v>
      </c>
      <c r="L26" s="2">
        <v>0</v>
      </c>
      <c r="M26" s="2">
        <v>3</v>
      </c>
      <c r="N26" s="2">
        <v>0</v>
      </c>
    </row>
    <row r="27" spans="1:14" customFormat="1" x14ac:dyDescent="0.25">
      <c r="A27" s="2">
        <v>44</v>
      </c>
      <c r="B27" s="2">
        <v>1</v>
      </c>
      <c r="C27" s="2">
        <v>2</v>
      </c>
      <c r="D27" s="2">
        <v>130</v>
      </c>
      <c r="E27" s="2">
        <v>233</v>
      </c>
      <c r="F27" s="2">
        <v>0</v>
      </c>
      <c r="G27" s="2">
        <v>1</v>
      </c>
      <c r="H27" s="2">
        <v>179</v>
      </c>
      <c r="I27" s="2">
        <v>1</v>
      </c>
      <c r="J27" s="2">
        <v>0.4</v>
      </c>
      <c r="K27" s="2">
        <v>2</v>
      </c>
      <c r="L27" s="2">
        <v>0</v>
      </c>
      <c r="M27" s="2">
        <v>2</v>
      </c>
      <c r="N27" s="2">
        <v>1</v>
      </c>
    </row>
    <row r="28" spans="1:14" customFormat="1" x14ac:dyDescent="0.25">
      <c r="A28" s="2">
        <v>58</v>
      </c>
      <c r="B28" s="2">
        <v>0</v>
      </c>
      <c r="C28" s="2">
        <v>1</v>
      </c>
      <c r="D28" s="2">
        <v>136</v>
      </c>
      <c r="E28" s="2">
        <v>319</v>
      </c>
      <c r="F28" s="2">
        <v>1</v>
      </c>
      <c r="G28" s="2">
        <v>0</v>
      </c>
      <c r="H28" s="2">
        <v>152</v>
      </c>
      <c r="I28" s="2">
        <v>0</v>
      </c>
      <c r="J28" s="2">
        <v>0</v>
      </c>
      <c r="K28" s="2">
        <v>2</v>
      </c>
      <c r="L28" s="2">
        <v>2</v>
      </c>
      <c r="M28" s="2">
        <v>2</v>
      </c>
      <c r="N28" s="2">
        <v>0</v>
      </c>
    </row>
    <row r="29" spans="1:14" customFormat="1" x14ac:dyDescent="0.25">
      <c r="A29" s="2">
        <v>56</v>
      </c>
      <c r="B29" s="2">
        <v>1</v>
      </c>
      <c r="C29" s="2">
        <v>2</v>
      </c>
      <c r="D29" s="2">
        <v>130</v>
      </c>
      <c r="E29" s="2">
        <v>256</v>
      </c>
      <c r="F29" s="2">
        <v>1</v>
      </c>
      <c r="G29" s="2">
        <v>0</v>
      </c>
      <c r="H29" s="2">
        <v>142</v>
      </c>
      <c r="I29" s="2">
        <v>1</v>
      </c>
      <c r="J29" s="2">
        <v>0.6</v>
      </c>
      <c r="K29" s="2">
        <v>1</v>
      </c>
      <c r="L29" s="2">
        <v>1</v>
      </c>
      <c r="M29" s="2">
        <v>1</v>
      </c>
      <c r="N29" s="2">
        <v>0</v>
      </c>
    </row>
    <row r="30" spans="1:14" customFormat="1" x14ac:dyDescent="0.25">
      <c r="A30" s="2">
        <v>55</v>
      </c>
      <c r="B30" s="2">
        <v>0</v>
      </c>
      <c r="C30" s="2">
        <v>0</v>
      </c>
      <c r="D30" s="2">
        <v>180</v>
      </c>
      <c r="E30" s="2">
        <v>327</v>
      </c>
      <c r="F30" s="2">
        <v>0</v>
      </c>
      <c r="G30" s="2">
        <v>2</v>
      </c>
      <c r="H30" s="2">
        <v>117</v>
      </c>
      <c r="I30" s="2">
        <v>1</v>
      </c>
      <c r="J30" s="2">
        <v>3.4</v>
      </c>
      <c r="K30" s="2">
        <v>1</v>
      </c>
      <c r="L30" s="2">
        <v>0</v>
      </c>
      <c r="M30" s="2">
        <v>2</v>
      </c>
      <c r="N30" s="2">
        <v>0</v>
      </c>
    </row>
    <row r="31" spans="1:14" customFormat="1" x14ac:dyDescent="0.25">
      <c r="A31" s="2">
        <v>44</v>
      </c>
      <c r="B31" s="2">
        <v>1</v>
      </c>
      <c r="C31" s="2">
        <v>0</v>
      </c>
      <c r="D31" s="2">
        <v>120</v>
      </c>
      <c r="E31" s="2">
        <v>169</v>
      </c>
      <c r="F31" s="2">
        <v>0</v>
      </c>
      <c r="G31" s="2">
        <v>1</v>
      </c>
      <c r="H31" s="2">
        <v>144</v>
      </c>
      <c r="I31" s="2">
        <v>1</v>
      </c>
      <c r="J31" s="2">
        <v>2.8</v>
      </c>
      <c r="K31" s="2">
        <v>0</v>
      </c>
      <c r="L31" s="2">
        <v>0</v>
      </c>
      <c r="M31" s="2">
        <v>1</v>
      </c>
      <c r="N31" s="2">
        <v>0</v>
      </c>
    </row>
    <row r="32" spans="1:14" customFormat="1" x14ac:dyDescent="0.25">
      <c r="A32" s="2">
        <v>57</v>
      </c>
      <c r="B32" s="2">
        <v>1</v>
      </c>
      <c r="C32" s="2">
        <v>0</v>
      </c>
      <c r="D32" s="2">
        <v>130</v>
      </c>
      <c r="E32" s="2">
        <v>131</v>
      </c>
      <c r="F32" s="2">
        <v>0</v>
      </c>
      <c r="G32" s="2">
        <v>1</v>
      </c>
      <c r="H32" s="2">
        <v>115</v>
      </c>
      <c r="I32" s="2">
        <v>1</v>
      </c>
      <c r="J32" s="2">
        <v>1.2</v>
      </c>
      <c r="K32" s="2">
        <v>1</v>
      </c>
      <c r="L32" s="2">
        <v>1</v>
      </c>
      <c r="M32" s="2">
        <v>3</v>
      </c>
      <c r="N32" s="2">
        <v>0</v>
      </c>
    </row>
    <row r="33" spans="1:14" customFormat="1" x14ac:dyDescent="0.25">
      <c r="A33" s="2">
        <v>70</v>
      </c>
      <c r="B33" s="2">
        <v>1</v>
      </c>
      <c r="C33" s="2">
        <v>2</v>
      </c>
      <c r="D33" s="2">
        <v>160</v>
      </c>
      <c r="E33" s="2">
        <v>269</v>
      </c>
      <c r="F33" s="2">
        <v>0</v>
      </c>
      <c r="G33" s="2">
        <v>1</v>
      </c>
      <c r="H33" s="2">
        <v>112</v>
      </c>
      <c r="I33" s="2">
        <v>1</v>
      </c>
      <c r="J33" s="2">
        <v>2.9</v>
      </c>
      <c r="K33" s="2">
        <v>1</v>
      </c>
      <c r="L33" s="2">
        <v>1</v>
      </c>
      <c r="M33" s="2">
        <v>3</v>
      </c>
      <c r="N33" s="2">
        <v>0</v>
      </c>
    </row>
    <row r="34" spans="1:14" customFormat="1" x14ac:dyDescent="0.25">
      <c r="A34" s="2">
        <v>50</v>
      </c>
      <c r="B34" s="2">
        <v>1</v>
      </c>
      <c r="C34" s="2">
        <v>2</v>
      </c>
      <c r="D34" s="2">
        <v>129</v>
      </c>
      <c r="E34" s="2">
        <v>196</v>
      </c>
      <c r="F34" s="2">
        <v>0</v>
      </c>
      <c r="G34" s="2">
        <v>1</v>
      </c>
      <c r="H34" s="2">
        <v>163</v>
      </c>
      <c r="I34" s="2">
        <v>0</v>
      </c>
      <c r="J34" s="2">
        <v>0</v>
      </c>
      <c r="K34" s="2">
        <v>2</v>
      </c>
      <c r="L34" s="2">
        <v>0</v>
      </c>
      <c r="M34" s="2">
        <v>2</v>
      </c>
      <c r="N34" s="2">
        <v>1</v>
      </c>
    </row>
    <row r="35" spans="1:14" customFormat="1" x14ac:dyDescent="0.25">
      <c r="A35" s="2">
        <v>46</v>
      </c>
      <c r="B35" s="2">
        <v>1</v>
      </c>
      <c r="C35" s="2">
        <v>2</v>
      </c>
      <c r="D35" s="2">
        <v>150</v>
      </c>
      <c r="E35" s="2">
        <v>231</v>
      </c>
      <c r="F35" s="2">
        <v>0</v>
      </c>
      <c r="G35" s="2">
        <v>1</v>
      </c>
      <c r="H35" s="2">
        <v>147</v>
      </c>
      <c r="I35" s="2">
        <v>0</v>
      </c>
      <c r="J35" s="2">
        <v>3.6</v>
      </c>
      <c r="K35" s="2">
        <v>1</v>
      </c>
      <c r="L35" s="2">
        <v>0</v>
      </c>
      <c r="M35" s="2">
        <v>2</v>
      </c>
      <c r="N35" s="2">
        <v>0</v>
      </c>
    </row>
    <row r="36" spans="1:14" customFormat="1" x14ac:dyDescent="0.25">
      <c r="A36" s="2">
        <v>51</v>
      </c>
      <c r="B36" s="2">
        <v>1</v>
      </c>
      <c r="C36" s="2">
        <v>3</v>
      </c>
      <c r="D36" s="2">
        <v>125</v>
      </c>
      <c r="E36" s="2">
        <v>213</v>
      </c>
      <c r="F36" s="2">
        <v>0</v>
      </c>
      <c r="G36" s="2">
        <v>0</v>
      </c>
      <c r="H36" s="2">
        <v>125</v>
      </c>
      <c r="I36" s="2">
        <v>1</v>
      </c>
      <c r="J36" s="2">
        <v>1.4</v>
      </c>
      <c r="K36" s="2">
        <v>2</v>
      </c>
      <c r="L36" s="2">
        <v>1</v>
      </c>
      <c r="M36" s="2">
        <v>2</v>
      </c>
      <c r="N36" s="2">
        <v>1</v>
      </c>
    </row>
    <row r="37" spans="1:14" customFormat="1" x14ac:dyDescent="0.25">
      <c r="A37" s="2">
        <v>59</v>
      </c>
      <c r="B37" s="2">
        <v>1</v>
      </c>
      <c r="C37" s="2">
        <v>0</v>
      </c>
      <c r="D37" s="2">
        <v>138</v>
      </c>
      <c r="E37" s="2">
        <v>271</v>
      </c>
      <c r="F37" s="2">
        <v>0</v>
      </c>
      <c r="G37" s="2">
        <v>0</v>
      </c>
      <c r="H37" s="2">
        <v>182</v>
      </c>
      <c r="I37" s="2">
        <v>0</v>
      </c>
      <c r="J37" s="2">
        <v>0</v>
      </c>
      <c r="K37" s="2">
        <v>2</v>
      </c>
      <c r="L37" s="2">
        <v>0</v>
      </c>
      <c r="M37" s="2">
        <v>2</v>
      </c>
      <c r="N37" s="2">
        <v>1</v>
      </c>
    </row>
    <row r="38" spans="1:14" customFormat="1" x14ac:dyDescent="0.25">
      <c r="A38" s="2">
        <v>64</v>
      </c>
      <c r="B38" s="2">
        <v>1</v>
      </c>
      <c r="C38" s="2">
        <v>0</v>
      </c>
      <c r="D38" s="2">
        <v>128</v>
      </c>
      <c r="E38" s="2">
        <v>263</v>
      </c>
      <c r="F38" s="2">
        <v>0</v>
      </c>
      <c r="G38" s="2">
        <v>1</v>
      </c>
      <c r="H38" s="2">
        <v>105</v>
      </c>
      <c r="I38" s="2">
        <v>1</v>
      </c>
      <c r="J38" s="2">
        <v>0.2</v>
      </c>
      <c r="K38" s="2">
        <v>1</v>
      </c>
      <c r="L38" s="2">
        <v>1</v>
      </c>
      <c r="M38" s="2">
        <v>3</v>
      </c>
      <c r="N38" s="2">
        <v>1</v>
      </c>
    </row>
    <row r="39" spans="1:14" customFormat="1" x14ac:dyDescent="0.25">
      <c r="A39" s="2">
        <v>57</v>
      </c>
      <c r="B39" s="2">
        <v>1</v>
      </c>
      <c r="C39" s="2">
        <v>2</v>
      </c>
      <c r="D39" s="2">
        <v>128</v>
      </c>
      <c r="E39" s="2">
        <v>229</v>
      </c>
      <c r="F39" s="2">
        <v>0</v>
      </c>
      <c r="G39" s="2">
        <v>0</v>
      </c>
      <c r="H39" s="2">
        <v>150</v>
      </c>
      <c r="I39" s="2">
        <v>0</v>
      </c>
      <c r="J39" s="2">
        <v>0.4</v>
      </c>
      <c r="K39" s="2">
        <v>1</v>
      </c>
      <c r="L39" s="2">
        <v>1</v>
      </c>
      <c r="M39" s="2">
        <v>3</v>
      </c>
      <c r="N39" s="2">
        <v>0</v>
      </c>
    </row>
    <row r="40" spans="1:14" customFormat="1" x14ac:dyDescent="0.25">
      <c r="A40" s="2">
        <v>65</v>
      </c>
      <c r="B40" s="2">
        <v>0</v>
      </c>
      <c r="C40" s="2">
        <v>2</v>
      </c>
      <c r="D40" s="2">
        <v>160</v>
      </c>
      <c r="E40" s="2">
        <v>360</v>
      </c>
      <c r="F40" s="2">
        <v>0</v>
      </c>
      <c r="G40" s="2">
        <v>0</v>
      </c>
      <c r="H40" s="2">
        <v>151</v>
      </c>
      <c r="I40" s="2">
        <v>0</v>
      </c>
      <c r="J40" s="2">
        <v>0.8</v>
      </c>
      <c r="K40" s="2">
        <v>2</v>
      </c>
      <c r="L40" s="2">
        <v>0</v>
      </c>
      <c r="M40" s="2">
        <v>2</v>
      </c>
      <c r="N40" s="2">
        <v>1</v>
      </c>
    </row>
    <row r="41" spans="1:14" customFormat="1" x14ac:dyDescent="0.25">
      <c r="A41" s="2">
        <v>54</v>
      </c>
      <c r="B41" s="2">
        <v>1</v>
      </c>
      <c r="C41" s="2">
        <v>2</v>
      </c>
      <c r="D41" s="2">
        <v>120</v>
      </c>
      <c r="E41" s="2">
        <v>258</v>
      </c>
      <c r="F41" s="2">
        <v>0</v>
      </c>
      <c r="G41" s="2">
        <v>0</v>
      </c>
      <c r="H41" s="2">
        <v>147</v>
      </c>
      <c r="I41" s="2">
        <v>0</v>
      </c>
      <c r="J41" s="2">
        <v>0.4</v>
      </c>
      <c r="K41" s="2">
        <v>1</v>
      </c>
      <c r="L41" s="2">
        <v>0</v>
      </c>
      <c r="M41" s="2">
        <v>3</v>
      </c>
      <c r="N41" s="2">
        <v>1</v>
      </c>
    </row>
    <row r="42" spans="1:14" customFormat="1" x14ac:dyDescent="0.25">
      <c r="A42" s="2">
        <v>61</v>
      </c>
      <c r="B42" s="2">
        <v>0</v>
      </c>
      <c r="C42" s="2">
        <v>0</v>
      </c>
      <c r="D42" s="2">
        <v>130</v>
      </c>
      <c r="E42" s="2">
        <v>330</v>
      </c>
      <c r="F42" s="2">
        <v>0</v>
      </c>
      <c r="G42" s="2">
        <v>0</v>
      </c>
      <c r="H42" s="2">
        <v>169</v>
      </c>
      <c r="I42" s="2">
        <v>0</v>
      </c>
      <c r="J42" s="2">
        <v>0</v>
      </c>
      <c r="K42" s="2">
        <v>2</v>
      </c>
      <c r="L42" s="2">
        <v>0</v>
      </c>
      <c r="M42" s="2">
        <v>2</v>
      </c>
      <c r="N42" s="2">
        <v>0</v>
      </c>
    </row>
    <row r="43" spans="1:14" customFormat="1" x14ac:dyDescent="0.25">
      <c r="A43" s="2">
        <v>55</v>
      </c>
      <c r="B43" s="2">
        <v>0</v>
      </c>
      <c r="C43" s="2">
        <v>1</v>
      </c>
      <c r="D43" s="2">
        <v>132</v>
      </c>
      <c r="E43" s="2">
        <v>342</v>
      </c>
      <c r="F43" s="2">
        <v>0</v>
      </c>
      <c r="G43" s="2">
        <v>1</v>
      </c>
      <c r="H43" s="2">
        <v>166</v>
      </c>
      <c r="I43" s="2">
        <v>0</v>
      </c>
      <c r="J43" s="2">
        <v>1.2</v>
      </c>
      <c r="K43" s="2">
        <v>2</v>
      </c>
      <c r="L43" s="2">
        <v>0</v>
      </c>
      <c r="M43" s="2">
        <v>2</v>
      </c>
      <c r="N43" s="2">
        <v>1</v>
      </c>
    </row>
    <row r="44" spans="1:14" customFormat="1" x14ac:dyDescent="0.25">
      <c r="A44" s="2">
        <v>42</v>
      </c>
      <c r="B44" s="2">
        <v>1</v>
      </c>
      <c r="C44" s="2">
        <v>0</v>
      </c>
      <c r="D44" s="2">
        <v>140</v>
      </c>
      <c r="E44" s="2">
        <v>226</v>
      </c>
      <c r="F44" s="2">
        <v>0</v>
      </c>
      <c r="G44" s="2">
        <v>1</v>
      </c>
      <c r="H44" s="2">
        <v>178</v>
      </c>
      <c r="I44" s="2">
        <v>0</v>
      </c>
      <c r="J44" s="2">
        <v>0</v>
      </c>
      <c r="K44" s="2">
        <v>2</v>
      </c>
      <c r="L44" s="2">
        <v>0</v>
      </c>
      <c r="M44" s="2">
        <v>2</v>
      </c>
      <c r="N44" s="2">
        <v>1</v>
      </c>
    </row>
    <row r="45" spans="1:14" customFormat="1" x14ac:dyDescent="0.25">
      <c r="A45" s="2">
        <v>41</v>
      </c>
      <c r="B45" s="2">
        <v>1</v>
      </c>
      <c r="C45" s="2">
        <v>1</v>
      </c>
      <c r="D45" s="2">
        <v>135</v>
      </c>
      <c r="E45" s="2">
        <v>203</v>
      </c>
      <c r="F45" s="2">
        <v>0</v>
      </c>
      <c r="G45" s="2">
        <v>1</v>
      </c>
      <c r="H45" s="2">
        <v>132</v>
      </c>
      <c r="I45" s="2">
        <v>0</v>
      </c>
      <c r="J45" s="2">
        <v>0</v>
      </c>
      <c r="K45" s="2">
        <v>1</v>
      </c>
      <c r="L45" s="2">
        <v>0</v>
      </c>
      <c r="M45" s="2">
        <v>1</v>
      </c>
      <c r="N45" s="2">
        <v>1</v>
      </c>
    </row>
    <row r="46" spans="1:14" customFormat="1" x14ac:dyDescent="0.25">
      <c r="A46" s="2">
        <v>66</v>
      </c>
      <c r="B46" s="2">
        <v>0</v>
      </c>
      <c r="C46" s="2">
        <v>0</v>
      </c>
      <c r="D46" s="2">
        <v>178</v>
      </c>
      <c r="E46" s="2">
        <v>228</v>
      </c>
      <c r="F46" s="2">
        <v>1</v>
      </c>
      <c r="G46" s="2">
        <v>1</v>
      </c>
      <c r="H46" s="2">
        <v>165</v>
      </c>
      <c r="I46" s="2">
        <v>1</v>
      </c>
      <c r="J46" s="2">
        <v>1</v>
      </c>
      <c r="K46" s="2">
        <v>1</v>
      </c>
      <c r="L46" s="2">
        <v>2</v>
      </c>
      <c r="M46" s="2">
        <v>3</v>
      </c>
      <c r="N46" s="2">
        <v>0</v>
      </c>
    </row>
    <row r="47" spans="1:14" customFormat="1" x14ac:dyDescent="0.25">
      <c r="A47" s="2">
        <v>66</v>
      </c>
      <c r="B47" s="2">
        <v>0</v>
      </c>
      <c r="C47" s="2">
        <v>2</v>
      </c>
      <c r="D47" s="2">
        <v>146</v>
      </c>
      <c r="E47" s="2">
        <v>278</v>
      </c>
      <c r="F47" s="2">
        <v>0</v>
      </c>
      <c r="G47" s="2">
        <v>0</v>
      </c>
      <c r="H47" s="2">
        <v>152</v>
      </c>
      <c r="I47" s="2">
        <v>0</v>
      </c>
      <c r="J47" s="2">
        <v>0</v>
      </c>
      <c r="K47" s="2">
        <v>1</v>
      </c>
      <c r="L47" s="2">
        <v>1</v>
      </c>
      <c r="M47" s="2">
        <v>2</v>
      </c>
      <c r="N47" s="2">
        <v>1</v>
      </c>
    </row>
    <row r="48" spans="1:14" customFormat="1" x14ac:dyDescent="0.25">
      <c r="A48" s="2">
        <v>60</v>
      </c>
      <c r="B48" s="2">
        <v>1</v>
      </c>
      <c r="C48" s="2">
        <v>0</v>
      </c>
      <c r="D48" s="2">
        <v>117</v>
      </c>
      <c r="E48" s="2">
        <v>230</v>
      </c>
      <c r="F48" s="2">
        <v>1</v>
      </c>
      <c r="G48" s="2">
        <v>1</v>
      </c>
      <c r="H48" s="2">
        <v>160</v>
      </c>
      <c r="I48" s="2">
        <v>1</v>
      </c>
      <c r="J48" s="2">
        <v>1.4</v>
      </c>
      <c r="K48" s="2">
        <v>2</v>
      </c>
      <c r="L48" s="2">
        <v>2</v>
      </c>
      <c r="M48" s="2">
        <v>3</v>
      </c>
      <c r="N48" s="2">
        <v>0</v>
      </c>
    </row>
    <row r="49" spans="1:14" customFormat="1" x14ac:dyDescent="0.25">
      <c r="A49" s="2">
        <v>58</v>
      </c>
      <c r="B49" s="2">
        <v>0</v>
      </c>
      <c r="C49" s="2">
        <v>3</v>
      </c>
      <c r="D49" s="2">
        <v>150</v>
      </c>
      <c r="E49" s="2">
        <v>283</v>
      </c>
      <c r="F49" s="2">
        <v>1</v>
      </c>
      <c r="G49" s="2">
        <v>0</v>
      </c>
      <c r="H49" s="2">
        <v>162</v>
      </c>
      <c r="I49" s="2">
        <v>0</v>
      </c>
      <c r="J49" s="2">
        <v>1</v>
      </c>
      <c r="K49" s="2">
        <v>2</v>
      </c>
      <c r="L49" s="2">
        <v>0</v>
      </c>
      <c r="M49" s="2">
        <v>2</v>
      </c>
      <c r="N49" s="2">
        <v>1</v>
      </c>
    </row>
    <row r="50" spans="1:14" customFormat="1" x14ac:dyDescent="0.25">
      <c r="A50" s="2">
        <v>57</v>
      </c>
      <c r="B50" s="2">
        <v>0</v>
      </c>
      <c r="C50" s="2">
        <v>0</v>
      </c>
      <c r="D50" s="2">
        <v>140</v>
      </c>
      <c r="E50" s="2">
        <v>241</v>
      </c>
      <c r="F50" s="2">
        <v>0</v>
      </c>
      <c r="G50" s="2">
        <v>1</v>
      </c>
      <c r="H50" s="2">
        <v>123</v>
      </c>
      <c r="I50" s="2">
        <v>1</v>
      </c>
      <c r="J50" s="2">
        <v>0.2</v>
      </c>
      <c r="K50" s="2">
        <v>1</v>
      </c>
      <c r="L50" s="2">
        <v>0</v>
      </c>
      <c r="M50" s="2">
        <v>3</v>
      </c>
      <c r="N50" s="2">
        <v>0</v>
      </c>
    </row>
    <row r="51" spans="1:14" customFormat="1" x14ac:dyDescent="0.25">
      <c r="A51" s="2">
        <v>38</v>
      </c>
      <c r="B51" s="2">
        <v>1</v>
      </c>
      <c r="C51" s="2">
        <v>2</v>
      </c>
      <c r="D51" s="2">
        <v>138</v>
      </c>
      <c r="E51" s="2">
        <v>175</v>
      </c>
      <c r="F51" s="2">
        <v>0</v>
      </c>
      <c r="G51" s="2">
        <v>1</v>
      </c>
      <c r="H51" s="2">
        <v>173</v>
      </c>
      <c r="I51" s="2">
        <v>0</v>
      </c>
      <c r="J51" s="2">
        <v>0</v>
      </c>
      <c r="K51" s="2">
        <v>2</v>
      </c>
      <c r="L51" s="2">
        <v>4</v>
      </c>
      <c r="M51" s="2">
        <v>2</v>
      </c>
      <c r="N51" s="2">
        <v>1</v>
      </c>
    </row>
    <row r="52" spans="1:14" customFormat="1" x14ac:dyDescent="0.25">
      <c r="A52" s="2">
        <v>49</v>
      </c>
      <c r="B52" s="2">
        <v>1</v>
      </c>
      <c r="C52" s="2">
        <v>2</v>
      </c>
      <c r="D52" s="2">
        <v>120</v>
      </c>
      <c r="E52" s="2">
        <v>188</v>
      </c>
      <c r="F52" s="2">
        <v>0</v>
      </c>
      <c r="G52" s="2">
        <v>1</v>
      </c>
      <c r="H52" s="2">
        <v>139</v>
      </c>
      <c r="I52" s="2">
        <v>0</v>
      </c>
      <c r="J52" s="2">
        <v>2</v>
      </c>
      <c r="K52" s="2">
        <v>1</v>
      </c>
      <c r="L52" s="2">
        <v>3</v>
      </c>
      <c r="M52" s="2">
        <v>3</v>
      </c>
      <c r="N52" s="2">
        <v>0</v>
      </c>
    </row>
    <row r="53" spans="1:14" customFormat="1" x14ac:dyDescent="0.25">
      <c r="A53" s="2">
        <v>55</v>
      </c>
      <c r="B53" s="2">
        <v>1</v>
      </c>
      <c r="C53" s="2">
        <v>0</v>
      </c>
      <c r="D53" s="2">
        <v>140</v>
      </c>
      <c r="E53" s="2">
        <v>217</v>
      </c>
      <c r="F53" s="2">
        <v>0</v>
      </c>
      <c r="G53" s="2">
        <v>1</v>
      </c>
      <c r="H53" s="2">
        <v>111</v>
      </c>
      <c r="I53" s="2">
        <v>1</v>
      </c>
      <c r="J53" s="2">
        <v>5.6</v>
      </c>
      <c r="K53" s="2">
        <v>0</v>
      </c>
      <c r="L53" s="2">
        <v>0</v>
      </c>
      <c r="M53" s="2">
        <v>3</v>
      </c>
      <c r="N53" s="2">
        <v>0</v>
      </c>
    </row>
    <row r="54" spans="1:14" customFormat="1" x14ac:dyDescent="0.25">
      <c r="A54" s="2">
        <v>56</v>
      </c>
      <c r="B54" s="2">
        <v>1</v>
      </c>
      <c r="C54" s="2">
        <v>3</v>
      </c>
      <c r="D54" s="2">
        <v>120</v>
      </c>
      <c r="E54" s="2">
        <v>193</v>
      </c>
      <c r="F54" s="2">
        <v>0</v>
      </c>
      <c r="G54" s="2">
        <v>0</v>
      </c>
      <c r="H54" s="2">
        <v>162</v>
      </c>
      <c r="I54" s="2">
        <v>0</v>
      </c>
      <c r="J54" s="2">
        <v>1.9</v>
      </c>
      <c r="K54" s="2">
        <v>1</v>
      </c>
      <c r="L54" s="2">
        <v>0</v>
      </c>
      <c r="M54" s="2">
        <v>3</v>
      </c>
      <c r="N54" s="2">
        <v>1</v>
      </c>
    </row>
    <row r="55" spans="1:14" customFormat="1" x14ac:dyDescent="0.25">
      <c r="A55" s="2">
        <v>48</v>
      </c>
      <c r="B55" s="2">
        <v>1</v>
      </c>
      <c r="C55" s="2">
        <v>1</v>
      </c>
      <c r="D55" s="2">
        <v>130</v>
      </c>
      <c r="E55" s="2">
        <v>245</v>
      </c>
      <c r="F55" s="2">
        <v>0</v>
      </c>
      <c r="G55" s="2">
        <v>0</v>
      </c>
      <c r="H55" s="2">
        <v>180</v>
      </c>
      <c r="I55" s="2">
        <v>0</v>
      </c>
      <c r="J55" s="2">
        <v>0.2</v>
      </c>
      <c r="K55" s="2">
        <v>1</v>
      </c>
      <c r="L55" s="2">
        <v>0</v>
      </c>
      <c r="M55" s="2">
        <v>2</v>
      </c>
      <c r="N55" s="2">
        <v>1</v>
      </c>
    </row>
    <row r="56" spans="1:14" customFormat="1" x14ac:dyDescent="0.25">
      <c r="A56" s="2">
        <v>67</v>
      </c>
      <c r="B56" s="2">
        <v>1</v>
      </c>
      <c r="C56" s="2">
        <v>2</v>
      </c>
      <c r="D56" s="2">
        <v>152</v>
      </c>
      <c r="E56" s="2">
        <v>212</v>
      </c>
      <c r="F56" s="2">
        <v>0</v>
      </c>
      <c r="G56" s="2">
        <v>0</v>
      </c>
      <c r="H56" s="2">
        <v>150</v>
      </c>
      <c r="I56" s="2">
        <v>0</v>
      </c>
      <c r="J56" s="2">
        <v>0.8</v>
      </c>
      <c r="K56" s="2">
        <v>1</v>
      </c>
      <c r="L56" s="2">
        <v>0</v>
      </c>
      <c r="M56" s="2">
        <v>3</v>
      </c>
      <c r="N56" s="2">
        <v>0</v>
      </c>
    </row>
    <row r="57" spans="1:14" customFormat="1" x14ac:dyDescent="0.25">
      <c r="A57" s="2">
        <v>57</v>
      </c>
      <c r="B57" s="2">
        <v>1</v>
      </c>
      <c r="C57" s="2">
        <v>1</v>
      </c>
      <c r="D57" s="2">
        <v>154</v>
      </c>
      <c r="E57" s="2">
        <v>232</v>
      </c>
      <c r="F57" s="2">
        <v>0</v>
      </c>
      <c r="G57" s="2">
        <v>0</v>
      </c>
      <c r="H57" s="2">
        <v>164</v>
      </c>
      <c r="I57" s="2">
        <v>0</v>
      </c>
      <c r="J57" s="2">
        <v>0</v>
      </c>
      <c r="K57" s="2">
        <v>2</v>
      </c>
      <c r="L57" s="2">
        <v>1</v>
      </c>
      <c r="M57" s="2">
        <v>2</v>
      </c>
      <c r="N57" s="2">
        <v>0</v>
      </c>
    </row>
    <row r="58" spans="1:14" customFormat="1" x14ac:dyDescent="0.25">
      <c r="A58" s="2">
        <v>29</v>
      </c>
      <c r="B58" s="2">
        <v>1</v>
      </c>
      <c r="C58" s="2">
        <v>1</v>
      </c>
      <c r="D58" s="2">
        <v>130</v>
      </c>
      <c r="E58" s="2">
        <v>204</v>
      </c>
      <c r="F58" s="2">
        <v>0</v>
      </c>
      <c r="G58" s="2">
        <v>0</v>
      </c>
      <c r="H58" s="2">
        <v>202</v>
      </c>
      <c r="I58" s="2">
        <v>0</v>
      </c>
      <c r="J58" s="2">
        <v>0</v>
      </c>
      <c r="K58" s="2">
        <v>2</v>
      </c>
      <c r="L58" s="2">
        <v>0</v>
      </c>
      <c r="M58" s="2">
        <v>2</v>
      </c>
      <c r="N58" s="2">
        <v>1</v>
      </c>
    </row>
    <row r="59" spans="1:14" customFormat="1" x14ac:dyDescent="0.25">
      <c r="A59" s="2">
        <v>67</v>
      </c>
      <c r="B59" s="2">
        <v>1</v>
      </c>
      <c r="C59" s="2">
        <v>0</v>
      </c>
      <c r="D59" s="2">
        <v>100</v>
      </c>
      <c r="E59" s="2">
        <v>299</v>
      </c>
      <c r="F59" s="2">
        <v>0</v>
      </c>
      <c r="G59" s="2">
        <v>0</v>
      </c>
      <c r="H59" s="2">
        <v>125</v>
      </c>
      <c r="I59" s="2">
        <v>1</v>
      </c>
      <c r="J59" s="2">
        <v>0.9</v>
      </c>
      <c r="K59" s="2">
        <v>1</v>
      </c>
      <c r="L59" s="2">
        <v>2</v>
      </c>
      <c r="M59" s="2">
        <v>2</v>
      </c>
      <c r="N59" s="2">
        <v>0</v>
      </c>
    </row>
    <row r="60" spans="1:14" customFormat="1" x14ac:dyDescent="0.25">
      <c r="A60" s="2">
        <v>59</v>
      </c>
      <c r="B60" s="2">
        <v>1</v>
      </c>
      <c r="C60" s="2">
        <v>2</v>
      </c>
      <c r="D60" s="2">
        <v>150</v>
      </c>
      <c r="E60" s="2">
        <v>212</v>
      </c>
      <c r="F60" s="2">
        <v>1</v>
      </c>
      <c r="G60" s="2">
        <v>1</v>
      </c>
      <c r="H60" s="2">
        <v>157</v>
      </c>
      <c r="I60" s="2">
        <v>0</v>
      </c>
      <c r="J60" s="2">
        <v>1.6</v>
      </c>
      <c r="K60" s="2">
        <v>2</v>
      </c>
      <c r="L60" s="2">
        <v>0</v>
      </c>
      <c r="M60" s="2">
        <v>2</v>
      </c>
      <c r="N60" s="2">
        <v>1</v>
      </c>
    </row>
    <row r="61" spans="1:14" customFormat="1" x14ac:dyDescent="0.25">
      <c r="A61" s="2">
        <v>59</v>
      </c>
      <c r="B61" s="2">
        <v>1</v>
      </c>
      <c r="C61" s="2">
        <v>3</v>
      </c>
      <c r="D61" s="2">
        <v>170</v>
      </c>
      <c r="E61" s="2">
        <v>288</v>
      </c>
      <c r="F61" s="2">
        <v>0</v>
      </c>
      <c r="G61" s="2">
        <v>0</v>
      </c>
      <c r="H61" s="2">
        <v>159</v>
      </c>
      <c r="I61" s="2">
        <v>0</v>
      </c>
      <c r="J61" s="2">
        <v>0.2</v>
      </c>
      <c r="K61" s="2">
        <v>1</v>
      </c>
      <c r="L61" s="2">
        <v>0</v>
      </c>
      <c r="M61" s="2">
        <v>3</v>
      </c>
      <c r="N61" s="2">
        <v>0</v>
      </c>
    </row>
    <row r="62" spans="1:14" customFormat="1" x14ac:dyDescent="0.25">
      <c r="A62" s="2">
        <v>53</v>
      </c>
      <c r="B62" s="2">
        <v>1</v>
      </c>
      <c r="C62" s="2">
        <v>2</v>
      </c>
      <c r="D62" s="2">
        <v>130</v>
      </c>
      <c r="E62" s="2">
        <v>197</v>
      </c>
      <c r="F62" s="2">
        <v>1</v>
      </c>
      <c r="G62" s="2">
        <v>0</v>
      </c>
      <c r="H62" s="2">
        <v>152</v>
      </c>
      <c r="I62" s="2">
        <v>0</v>
      </c>
      <c r="J62" s="2">
        <v>1.2</v>
      </c>
      <c r="K62" s="2">
        <v>0</v>
      </c>
      <c r="L62" s="2">
        <v>0</v>
      </c>
      <c r="M62" s="2">
        <v>2</v>
      </c>
      <c r="N62" s="2">
        <v>1</v>
      </c>
    </row>
    <row r="63" spans="1:14" customFormat="1" x14ac:dyDescent="0.25">
      <c r="A63" s="2">
        <v>42</v>
      </c>
      <c r="B63" s="2">
        <v>1</v>
      </c>
      <c r="C63" s="2">
        <v>0</v>
      </c>
      <c r="D63" s="2">
        <v>136</v>
      </c>
      <c r="E63" s="2">
        <v>315</v>
      </c>
      <c r="F63" s="2">
        <v>0</v>
      </c>
      <c r="G63" s="2">
        <v>1</v>
      </c>
      <c r="H63" s="2">
        <v>125</v>
      </c>
      <c r="I63" s="2">
        <v>1</v>
      </c>
      <c r="J63" s="2">
        <v>1.8</v>
      </c>
      <c r="K63" s="2">
        <v>1</v>
      </c>
      <c r="L63" s="2">
        <v>0</v>
      </c>
      <c r="M63" s="2">
        <v>1</v>
      </c>
      <c r="N63" s="2">
        <v>0</v>
      </c>
    </row>
    <row r="64" spans="1:14" customFormat="1" x14ac:dyDescent="0.25">
      <c r="A64" s="2">
        <v>37</v>
      </c>
      <c r="B64" s="2">
        <v>0</v>
      </c>
      <c r="C64" s="2">
        <v>2</v>
      </c>
      <c r="D64" s="2">
        <v>120</v>
      </c>
      <c r="E64" s="2">
        <v>215</v>
      </c>
      <c r="F64" s="2">
        <v>0</v>
      </c>
      <c r="G64" s="2">
        <v>1</v>
      </c>
      <c r="H64" s="2">
        <v>170</v>
      </c>
      <c r="I64" s="2">
        <v>0</v>
      </c>
      <c r="J64" s="2">
        <v>0</v>
      </c>
      <c r="K64" s="2">
        <v>2</v>
      </c>
      <c r="L64" s="2">
        <v>0</v>
      </c>
      <c r="M64" s="2">
        <v>2</v>
      </c>
      <c r="N64" s="2">
        <v>1</v>
      </c>
    </row>
    <row r="65" spans="1:14" customFormat="1" x14ac:dyDescent="0.25">
      <c r="A65" s="2">
        <v>62</v>
      </c>
      <c r="B65" s="2">
        <v>0</v>
      </c>
      <c r="C65" s="2">
        <v>0</v>
      </c>
      <c r="D65" s="2">
        <v>160</v>
      </c>
      <c r="E65" s="2">
        <v>164</v>
      </c>
      <c r="F65" s="2">
        <v>0</v>
      </c>
      <c r="G65" s="2">
        <v>0</v>
      </c>
      <c r="H65" s="2">
        <v>145</v>
      </c>
      <c r="I65" s="2">
        <v>0</v>
      </c>
      <c r="J65" s="2">
        <v>6.2</v>
      </c>
      <c r="K65" s="2">
        <v>0</v>
      </c>
      <c r="L65" s="2">
        <v>3</v>
      </c>
      <c r="M65" s="2">
        <v>3</v>
      </c>
      <c r="N65" s="2">
        <v>0</v>
      </c>
    </row>
    <row r="66" spans="1:14" customFormat="1" x14ac:dyDescent="0.25">
      <c r="A66" s="2">
        <v>59</v>
      </c>
      <c r="B66" s="2">
        <v>1</v>
      </c>
      <c r="C66" s="2">
        <v>0</v>
      </c>
      <c r="D66" s="2">
        <v>170</v>
      </c>
      <c r="E66" s="2">
        <v>326</v>
      </c>
      <c r="F66" s="2">
        <v>0</v>
      </c>
      <c r="G66" s="2">
        <v>0</v>
      </c>
      <c r="H66" s="2">
        <v>140</v>
      </c>
      <c r="I66" s="2">
        <v>1</v>
      </c>
      <c r="J66" s="2">
        <v>3.4</v>
      </c>
      <c r="K66" s="2">
        <v>0</v>
      </c>
      <c r="L66" s="2">
        <v>0</v>
      </c>
      <c r="M66" s="2">
        <v>3</v>
      </c>
      <c r="N66" s="2">
        <v>0</v>
      </c>
    </row>
    <row r="67" spans="1:14" customFormat="1" x14ac:dyDescent="0.25">
      <c r="A67" s="2">
        <v>61</v>
      </c>
      <c r="B67" s="2">
        <v>1</v>
      </c>
      <c r="C67" s="2">
        <v>0</v>
      </c>
      <c r="D67" s="2">
        <v>140</v>
      </c>
      <c r="E67" s="2">
        <v>207</v>
      </c>
      <c r="F67" s="2">
        <v>0</v>
      </c>
      <c r="G67" s="2">
        <v>0</v>
      </c>
      <c r="H67" s="2">
        <v>138</v>
      </c>
      <c r="I67" s="2">
        <v>1</v>
      </c>
      <c r="J67" s="2">
        <v>1.9</v>
      </c>
      <c r="K67" s="2">
        <v>2</v>
      </c>
      <c r="L67" s="2">
        <v>1</v>
      </c>
      <c r="M67" s="2">
        <v>3</v>
      </c>
      <c r="N67" s="2">
        <v>0</v>
      </c>
    </row>
    <row r="68" spans="1:14" customFormat="1" x14ac:dyDescent="0.25">
      <c r="A68" s="2">
        <v>56</v>
      </c>
      <c r="B68" s="2">
        <v>1</v>
      </c>
      <c r="C68" s="2">
        <v>0</v>
      </c>
      <c r="D68" s="2">
        <v>125</v>
      </c>
      <c r="E68" s="2">
        <v>249</v>
      </c>
      <c r="F68" s="2">
        <v>1</v>
      </c>
      <c r="G68" s="2">
        <v>0</v>
      </c>
      <c r="H68" s="2">
        <v>144</v>
      </c>
      <c r="I68" s="2">
        <v>1</v>
      </c>
      <c r="J68" s="2">
        <v>1.2</v>
      </c>
      <c r="K68" s="2">
        <v>1</v>
      </c>
      <c r="L68" s="2">
        <v>1</v>
      </c>
      <c r="M68" s="2">
        <v>2</v>
      </c>
      <c r="N68" s="2">
        <v>0</v>
      </c>
    </row>
    <row r="69" spans="1:14" customFormat="1" x14ac:dyDescent="0.25">
      <c r="A69" s="2">
        <v>59</v>
      </c>
      <c r="B69" s="2">
        <v>1</v>
      </c>
      <c r="C69" s="2">
        <v>0</v>
      </c>
      <c r="D69" s="2">
        <v>140</v>
      </c>
      <c r="E69" s="2">
        <v>177</v>
      </c>
      <c r="F69" s="2">
        <v>0</v>
      </c>
      <c r="G69" s="2">
        <v>1</v>
      </c>
      <c r="H69" s="2">
        <v>162</v>
      </c>
      <c r="I69" s="2">
        <v>1</v>
      </c>
      <c r="J69" s="2">
        <v>0</v>
      </c>
      <c r="K69" s="2">
        <v>2</v>
      </c>
      <c r="L69" s="2">
        <v>1</v>
      </c>
      <c r="M69" s="2">
        <v>3</v>
      </c>
      <c r="N69" s="2">
        <v>0</v>
      </c>
    </row>
    <row r="70" spans="1:14" customFormat="1" x14ac:dyDescent="0.25">
      <c r="A70" s="2">
        <v>48</v>
      </c>
      <c r="B70" s="2">
        <v>1</v>
      </c>
      <c r="C70" s="2">
        <v>0</v>
      </c>
      <c r="D70" s="2">
        <v>130</v>
      </c>
      <c r="E70" s="2">
        <v>256</v>
      </c>
      <c r="F70" s="2">
        <v>1</v>
      </c>
      <c r="G70" s="2">
        <v>0</v>
      </c>
      <c r="H70" s="2">
        <v>150</v>
      </c>
      <c r="I70" s="2">
        <v>1</v>
      </c>
      <c r="J70" s="2">
        <v>0</v>
      </c>
      <c r="K70" s="2">
        <v>2</v>
      </c>
      <c r="L70" s="2">
        <v>2</v>
      </c>
      <c r="M70" s="2">
        <v>3</v>
      </c>
      <c r="N70" s="2">
        <v>0</v>
      </c>
    </row>
    <row r="71" spans="1:14" customFormat="1" x14ac:dyDescent="0.25">
      <c r="A71" s="2">
        <v>47</v>
      </c>
      <c r="B71" s="2">
        <v>1</v>
      </c>
      <c r="C71" s="2">
        <v>2</v>
      </c>
      <c r="D71" s="2">
        <v>138</v>
      </c>
      <c r="E71" s="2">
        <v>257</v>
      </c>
      <c r="F71" s="2">
        <v>0</v>
      </c>
      <c r="G71" s="2">
        <v>0</v>
      </c>
      <c r="H71" s="2">
        <v>156</v>
      </c>
      <c r="I71" s="2">
        <v>0</v>
      </c>
      <c r="J71" s="2">
        <v>0</v>
      </c>
      <c r="K71" s="2">
        <v>2</v>
      </c>
      <c r="L71" s="2">
        <v>0</v>
      </c>
      <c r="M71" s="2">
        <v>2</v>
      </c>
      <c r="N71" s="2">
        <v>1</v>
      </c>
    </row>
    <row r="72" spans="1:14" customFormat="1" x14ac:dyDescent="0.25">
      <c r="A72" s="2">
        <v>48</v>
      </c>
      <c r="B72" s="2">
        <v>1</v>
      </c>
      <c r="C72" s="2">
        <v>2</v>
      </c>
      <c r="D72" s="2">
        <v>124</v>
      </c>
      <c r="E72" s="2">
        <v>255</v>
      </c>
      <c r="F72" s="2">
        <v>1</v>
      </c>
      <c r="G72" s="2">
        <v>1</v>
      </c>
      <c r="H72" s="2">
        <v>175</v>
      </c>
      <c r="I72" s="2">
        <v>0</v>
      </c>
      <c r="J72" s="2">
        <v>0</v>
      </c>
      <c r="K72" s="2">
        <v>2</v>
      </c>
      <c r="L72" s="2">
        <v>2</v>
      </c>
      <c r="M72" s="2">
        <v>2</v>
      </c>
      <c r="N72" s="2">
        <v>1</v>
      </c>
    </row>
    <row r="73" spans="1:14" customFormat="1" x14ac:dyDescent="0.25">
      <c r="A73" s="2">
        <v>63</v>
      </c>
      <c r="B73" s="2">
        <v>1</v>
      </c>
      <c r="C73" s="2">
        <v>0</v>
      </c>
      <c r="D73" s="2">
        <v>140</v>
      </c>
      <c r="E73" s="2">
        <v>187</v>
      </c>
      <c r="F73" s="2">
        <v>0</v>
      </c>
      <c r="G73" s="2">
        <v>0</v>
      </c>
      <c r="H73" s="2">
        <v>144</v>
      </c>
      <c r="I73" s="2">
        <v>1</v>
      </c>
      <c r="J73" s="2">
        <v>4</v>
      </c>
      <c r="K73" s="2">
        <v>2</v>
      </c>
      <c r="L73" s="2">
        <v>2</v>
      </c>
      <c r="M73" s="2">
        <v>3</v>
      </c>
      <c r="N73" s="2">
        <v>0</v>
      </c>
    </row>
    <row r="74" spans="1:14" customFormat="1" x14ac:dyDescent="0.25">
      <c r="A74" s="2">
        <v>52</v>
      </c>
      <c r="B74" s="2">
        <v>1</v>
      </c>
      <c r="C74" s="2">
        <v>1</v>
      </c>
      <c r="D74" s="2">
        <v>134</v>
      </c>
      <c r="E74" s="2">
        <v>201</v>
      </c>
      <c r="F74" s="2">
        <v>0</v>
      </c>
      <c r="G74" s="2">
        <v>1</v>
      </c>
      <c r="H74" s="2">
        <v>158</v>
      </c>
      <c r="I74" s="2">
        <v>0</v>
      </c>
      <c r="J74" s="2">
        <v>0.8</v>
      </c>
      <c r="K74" s="2">
        <v>2</v>
      </c>
      <c r="L74" s="2">
        <v>1</v>
      </c>
      <c r="M74" s="2">
        <v>2</v>
      </c>
      <c r="N74" s="2">
        <v>1</v>
      </c>
    </row>
    <row r="75" spans="1:14" customFormat="1" x14ac:dyDescent="0.25">
      <c r="A75" s="2">
        <v>50</v>
      </c>
      <c r="B75" s="2">
        <v>1</v>
      </c>
      <c r="C75" s="2">
        <v>2</v>
      </c>
      <c r="D75" s="2">
        <v>140</v>
      </c>
      <c r="E75" s="2">
        <v>233</v>
      </c>
      <c r="F75" s="2">
        <v>0</v>
      </c>
      <c r="G75" s="2">
        <v>1</v>
      </c>
      <c r="H75" s="2">
        <v>163</v>
      </c>
      <c r="I75" s="2">
        <v>0</v>
      </c>
      <c r="J75" s="2">
        <v>0.6</v>
      </c>
      <c r="K75" s="2">
        <v>1</v>
      </c>
      <c r="L75" s="2">
        <v>1</v>
      </c>
      <c r="M75" s="2">
        <v>3</v>
      </c>
      <c r="N75" s="2">
        <v>0</v>
      </c>
    </row>
    <row r="76" spans="1:14" customFormat="1" x14ac:dyDescent="0.25">
      <c r="A76" s="2">
        <v>49</v>
      </c>
      <c r="B76" s="2">
        <v>1</v>
      </c>
      <c r="C76" s="2">
        <v>2</v>
      </c>
      <c r="D76" s="2">
        <v>118</v>
      </c>
      <c r="E76" s="2">
        <v>149</v>
      </c>
      <c r="F76" s="2">
        <v>0</v>
      </c>
      <c r="G76" s="2">
        <v>0</v>
      </c>
      <c r="H76" s="2">
        <v>126</v>
      </c>
      <c r="I76" s="2">
        <v>0</v>
      </c>
      <c r="J76" s="2">
        <v>0.8</v>
      </c>
      <c r="K76" s="2">
        <v>2</v>
      </c>
      <c r="L76" s="2">
        <v>3</v>
      </c>
      <c r="M76" s="2">
        <v>2</v>
      </c>
      <c r="N76" s="2">
        <v>0</v>
      </c>
    </row>
    <row r="77" spans="1:14" customFormat="1" x14ac:dyDescent="0.25">
      <c r="A77" s="2">
        <v>44</v>
      </c>
      <c r="B77" s="2">
        <v>1</v>
      </c>
      <c r="C77" s="2">
        <v>1</v>
      </c>
      <c r="D77" s="2">
        <v>120</v>
      </c>
      <c r="E77" s="2">
        <v>220</v>
      </c>
      <c r="F77" s="2">
        <v>0</v>
      </c>
      <c r="G77" s="2">
        <v>1</v>
      </c>
      <c r="H77" s="2">
        <v>170</v>
      </c>
      <c r="I77" s="2">
        <v>0</v>
      </c>
      <c r="J77" s="2">
        <v>0</v>
      </c>
      <c r="K77" s="2">
        <v>2</v>
      </c>
      <c r="L77" s="2">
        <v>0</v>
      </c>
      <c r="M77" s="2">
        <v>2</v>
      </c>
      <c r="N77" s="2">
        <v>1</v>
      </c>
    </row>
    <row r="78" spans="1:14" customFormat="1" x14ac:dyDescent="0.25">
      <c r="A78" s="2">
        <v>59</v>
      </c>
      <c r="B78" s="2">
        <v>0</v>
      </c>
      <c r="C78" s="2">
        <v>0</v>
      </c>
      <c r="D78" s="2">
        <v>174</v>
      </c>
      <c r="E78" s="2">
        <v>249</v>
      </c>
      <c r="F78" s="2">
        <v>0</v>
      </c>
      <c r="G78" s="2">
        <v>1</v>
      </c>
      <c r="H78" s="2">
        <v>143</v>
      </c>
      <c r="I78" s="2">
        <v>1</v>
      </c>
      <c r="J78" s="2">
        <v>0</v>
      </c>
      <c r="K78" s="2">
        <v>1</v>
      </c>
      <c r="L78" s="2">
        <v>0</v>
      </c>
      <c r="M78" s="2">
        <v>2</v>
      </c>
      <c r="N78" s="2">
        <v>0</v>
      </c>
    </row>
    <row r="79" spans="1:14" customFormat="1" x14ac:dyDescent="0.25">
      <c r="A79" s="2">
        <v>62</v>
      </c>
      <c r="B79" s="2">
        <v>0</v>
      </c>
      <c r="C79" s="2">
        <v>0</v>
      </c>
      <c r="D79" s="2">
        <v>140</v>
      </c>
      <c r="E79" s="2">
        <v>268</v>
      </c>
      <c r="F79" s="2">
        <v>0</v>
      </c>
      <c r="G79" s="2">
        <v>0</v>
      </c>
      <c r="H79" s="2">
        <v>160</v>
      </c>
      <c r="I79" s="2">
        <v>0</v>
      </c>
      <c r="J79" s="2">
        <v>3.6</v>
      </c>
      <c r="K79" s="2">
        <v>0</v>
      </c>
      <c r="L79" s="2">
        <v>2</v>
      </c>
      <c r="M79" s="2">
        <v>2</v>
      </c>
      <c r="N79" s="2">
        <v>0</v>
      </c>
    </row>
    <row r="80" spans="1:14" customFormat="1" x14ac:dyDescent="0.25">
      <c r="A80" s="2">
        <v>68</v>
      </c>
      <c r="B80" s="2">
        <v>1</v>
      </c>
      <c r="C80" s="2">
        <v>0</v>
      </c>
      <c r="D80" s="2">
        <v>144</v>
      </c>
      <c r="E80" s="2">
        <v>193</v>
      </c>
      <c r="F80" s="2">
        <v>1</v>
      </c>
      <c r="G80" s="2">
        <v>1</v>
      </c>
      <c r="H80" s="2">
        <v>141</v>
      </c>
      <c r="I80" s="2">
        <v>0</v>
      </c>
      <c r="J80" s="2">
        <v>3.4</v>
      </c>
      <c r="K80" s="2">
        <v>1</v>
      </c>
      <c r="L80" s="2">
        <v>2</v>
      </c>
      <c r="M80" s="2">
        <v>3</v>
      </c>
      <c r="N80" s="2">
        <v>0</v>
      </c>
    </row>
    <row r="81" spans="1:14" customFormat="1" x14ac:dyDescent="0.25">
      <c r="A81" s="2">
        <v>54</v>
      </c>
      <c r="B81" s="2">
        <v>0</v>
      </c>
      <c r="C81" s="2">
        <v>2</v>
      </c>
      <c r="D81" s="2">
        <v>108</v>
      </c>
      <c r="E81" s="2">
        <v>267</v>
      </c>
      <c r="F81" s="2">
        <v>0</v>
      </c>
      <c r="G81" s="2">
        <v>0</v>
      </c>
      <c r="H81" s="2">
        <v>167</v>
      </c>
      <c r="I81" s="2">
        <v>0</v>
      </c>
      <c r="J81" s="2">
        <v>0</v>
      </c>
      <c r="K81" s="2">
        <v>2</v>
      </c>
      <c r="L81" s="2">
        <v>0</v>
      </c>
      <c r="M81" s="2">
        <v>2</v>
      </c>
      <c r="N81" s="2">
        <v>1</v>
      </c>
    </row>
    <row r="82" spans="1:14" customFormat="1" x14ac:dyDescent="0.25">
      <c r="A82" s="2">
        <v>62</v>
      </c>
      <c r="B82" s="2">
        <v>0</v>
      </c>
      <c r="C82" s="2">
        <v>0</v>
      </c>
      <c r="D82" s="2">
        <v>124</v>
      </c>
      <c r="E82" s="2">
        <v>209</v>
      </c>
      <c r="F82" s="2">
        <v>0</v>
      </c>
      <c r="G82" s="2">
        <v>1</v>
      </c>
      <c r="H82" s="2">
        <v>163</v>
      </c>
      <c r="I82" s="2">
        <v>0</v>
      </c>
      <c r="J82" s="2">
        <v>0</v>
      </c>
      <c r="K82" s="2">
        <v>2</v>
      </c>
      <c r="L82" s="2">
        <v>0</v>
      </c>
      <c r="M82" s="2">
        <v>2</v>
      </c>
      <c r="N82" s="2">
        <v>1</v>
      </c>
    </row>
    <row r="83" spans="1:14" customFormat="1" x14ac:dyDescent="0.25">
      <c r="A83" s="2">
        <v>62</v>
      </c>
      <c r="B83" s="2">
        <v>1</v>
      </c>
      <c r="C83" s="2">
        <v>1</v>
      </c>
      <c r="D83" s="2">
        <v>128</v>
      </c>
      <c r="E83" s="2">
        <v>208</v>
      </c>
      <c r="F83" s="2">
        <v>1</v>
      </c>
      <c r="G83" s="2">
        <v>0</v>
      </c>
      <c r="H83" s="2">
        <v>140</v>
      </c>
      <c r="I83" s="2">
        <v>0</v>
      </c>
      <c r="J83" s="2">
        <v>0</v>
      </c>
      <c r="K83" s="2">
        <v>2</v>
      </c>
      <c r="L83" s="2">
        <v>0</v>
      </c>
      <c r="M83" s="2">
        <v>2</v>
      </c>
      <c r="N83" s="2">
        <v>1</v>
      </c>
    </row>
    <row r="84" spans="1:14" customFormat="1" x14ac:dyDescent="0.25">
      <c r="A84" s="2">
        <v>45</v>
      </c>
      <c r="B84" s="2">
        <v>0</v>
      </c>
      <c r="C84" s="2">
        <v>0</v>
      </c>
      <c r="D84" s="2">
        <v>138</v>
      </c>
      <c r="E84" s="2">
        <v>236</v>
      </c>
      <c r="F84" s="2">
        <v>0</v>
      </c>
      <c r="G84" s="2">
        <v>0</v>
      </c>
      <c r="H84" s="2">
        <v>152</v>
      </c>
      <c r="I84" s="2">
        <v>1</v>
      </c>
      <c r="J84" s="2">
        <v>0.2</v>
      </c>
      <c r="K84" s="2">
        <v>1</v>
      </c>
      <c r="L84" s="2">
        <v>0</v>
      </c>
      <c r="M84" s="2">
        <v>2</v>
      </c>
      <c r="N84" s="2">
        <v>1</v>
      </c>
    </row>
    <row r="85" spans="1:14" customFormat="1" x14ac:dyDescent="0.25">
      <c r="A85" s="2">
        <v>57</v>
      </c>
      <c r="B85" s="2">
        <v>0</v>
      </c>
      <c r="C85" s="2">
        <v>0</v>
      </c>
      <c r="D85" s="2">
        <v>128</v>
      </c>
      <c r="E85" s="2">
        <v>303</v>
      </c>
      <c r="F85" s="2">
        <v>0</v>
      </c>
      <c r="G85" s="2">
        <v>0</v>
      </c>
      <c r="H85" s="2">
        <v>159</v>
      </c>
      <c r="I85" s="2">
        <v>0</v>
      </c>
      <c r="J85" s="2">
        <v>0</v>
      </c>
      <c r="K85" s="2">
        <v>2</v>
      </c>
      <c r="L85" s="2">
        <v>1</v>
      </c>
      <c r="M85" s="2">
        <v>2</v>
      </c>
      <c r="N85" s="2">
        <v>1</v>
      </c>
    </row>
    <row r="86" spans="1:14" customFormat="1" x14ac:dyDescent="0.25">
      <c r="A86" s="2">
        <v>53</v>
      </c>
      <c r="B86" s="2">
        <v>1</v>
      </c>
      <c r="C86" s="2">
        <v>0</v>
      </c>
      <c r="D86" s="2">
        <v>123</v>
      </c>
      <c r="E86" s="2">
        <v>282</v>
      </c>
      <c r="F86" s="2">
        <v>0</v>
      </c>
      <c r="G86" s="2">
        <v>1</v>
      </c>
      <c r="H86" s="2">
        <v>95</v>
      </c>
      <c r="I86" s="2">
        <v>1</v>
      </c>
      <c r="J86" s="2">
        <v>2</v>
      </c>
      <c r="K86" s="2">
        <v>1</v>
      </c>
      <c r="L86" s="2">
        <v>2</v>
      </c>
      <c r="M86" s="2">
        <v>3</v>
      </c>
      <c r="N86" s="2">
        <v>0</v>
      </c>
    </row>
    <row r="87" spans="1:14" customFormat="1" x14ac:dyDescent="0.25">
      <c r="A87" s="2">
        <v>65</v>
      </c>
      <c r="B87" s="2">
        <v>1</v>
      </c>
      <c r="C87" s="2">
        <v>0</v>
      </c>
      <c r="D87" s="2">
        <v>110</v>
      </c>
      <c r="E87" s="2">
        <v>248</v>
      </c>
      <c r="F87" s="2">
        <v>0</v>
      </c>
      <c r="G87" s="2">
        <v>0</v>
      </c>
      <c r="H87" s="2">
        <v>158</v>
      </c>
      <c r="I87" s="2">
        <v>0</v>
      </c>
      <c r="J87" s="2">
        <v>0.6</v>
      </c>
      <c r="K87" s="2">
        <v>2</v>
      </c>
      <c r="L87" s="2">
        <v>2</v>
      </c>
      <c r="M87" s="2">
        <v>1</v>
      </c>
      <c r="N87" s="2">
        <v>0</v>
      </c>
    </row>
    <row r="88" spans="1:14" customFormat="1" x14ac:dyDescent="0.25">
      <c r="A88" s="2">
        <v>76</v>
      </c>
      <c r="B88" s="2">
        <v>0</v>
      </c>
      <c r="C88" s="2">
        <v>2</v>
      </c>
      <c r="D88" s="2">
        <v>140</v>
      </c>
      <c r="E88" s="2">
        <v>197</v>
      </c>
      <c r="F88" s="2">
        <v>0</v>
      </c>
      <c r="G88" s="2">
        <v>2</v>
      </c>
      <c r="H88" s="2">
        <v>116</v>
      </c>
      <c r="I88" s="2">
        <v>0</v>
      </c>
      <c r="J88" s="2">
        <v>1.1000000000000001</v>
      </c>
      <c r="K88" s="2">
        <v>1</v>
      </c>
      <c r="L88" s="2">
        <v>0</v>
      </c>
      <c r="M88" s="2">
        <v>2</v>
      </c>
      <c r="N88" s="2">
        <v>1</v>
      </c>
    </row>
    <row r="89" spans="1:14" customFormat="1" x14ac:dyDescent="0.25">
      <c r="A89" s="2">
        <v>43</v>
      </c>
      <c r="B89" s="2">
        <v>0</v>
      </c>
      <c r="C89" s="2">
        <v>2</v>
      </c>
      <c r="D89" s="2">
        <v>122</v>
      </c>
      <c r="E89" s="2">
        <v>213</v>
      </c>
      <c r="F89" s="2">
        <v>0</v>
      </c>
      <c r="G89" s="2">
        <v>1</v>
      </c>
      <c r="H89" s="2">
        <v>165</v>
      </c>
      <c r="I89" s="2">
        <v>0</v>
      </c>
      <c r="J89" s="2">
        <v>0.2</v>
      </c>
      <c r="K89" s="2">
        <v>1</v>
      </c>
      <c r="L89" s="2">
        <v>0</v>
      </c>
      <c r="M89" s="2">
        <v>2</v>
      </c>
      <c r="N89" s="2">
        <v>1</v>
      </c>
    </row>
    <row r="90" spans="1:14" customFormat="1" x14ac:dyDescent="0.25">
      <c r="A90" s="2">
        <v>57</v>
      </c>
      <c r="B90" s="2">
        <v>1</v>
      </c>
      <c r="C90" s="2">
        <v>2</v>
      </c>
      <c r="D90" s="2">
        <v>150</v>
      </c>
      <c r="E90" s="2">
        <v>126</v>
      </c>
      <c r="F90" s="2">
        <v>1</v>
      </c>
      <c r="G90" s="2">
        <v>1</v>
      </c>
      <c r="H90" s="2">
        <v>173</v>
      </c>
      <c r="I90" s="2">
        <v>0</v>
      </c>
      <c r="J90" s="2">
        <v>0.2</v>
      </c>
      <c r="K90" s="2">
        <v>2</v>
      </c>
      <c r="L90" s="2">
        <v>1</v>
      </c>
      <c r="M90" s="2">
        <v>3</v>
      </c>
      <c r="N90" s="2">
        <v>1</v>
      </c>
    </row>
    <row r="91" spans="1:14" customFormat="1" x14ac:dyDescent="0.25">
      <c r="A91" s="2">
        <v>54</v>
      </c>
      <c r="B91" s="2">
        <v>1</v>
      </c>
      <c r="C91" s="2">
        <v>1</v>
      </c>
      <c r="D91" s="2">
        <v>108</v>
      </c>
      <c r="E91" s="2">
        <v>309</v>
      </c>
      <c r="F91" s="2">
        <v>0</v>
      </c>
      <c r="G91" s="2">
        <v>1</v>
      </c>
      <c r="H91" s="2">
        <v>156</v>
      </c>
      <c r="I91" s="2">
        <v>0</v>
      </c>
      <c r="J91" s="2">
        <v>0</v>
      </c>
      <c r="K91" s="2">
        <v>2</v>
      </c>
      <c r="L91" s="2">
        <v>0</v>
      </c>
      <c r="M91" s="2">
        <v>3</v>
      </c>
      <c r="N91" s="2">
        <v>1</v>
      </c>
    </row>
    <row r="92" spans="1:14" customFormat="1" x14ac:dyDescent="0.25">
      <c r="A92" s="2">
        <v>52</v>
      </c>
      <c r="B92" s="2">
        <v>1</v>
      </c>
      <c r="C92" s="2">
        <v>3</v>
      </c>
      <c r="D92" s="2">
        <v>118</v>
      </c>
      <c r="E92" s="2">
        <v>186</v>
      </c>
      <c r="F92" s="2">
        <v>0</v>
      </c>
      <c r="G92" s="2">
        <v>0</v>
      </c>
      <c r="H92" s="2">
        <v>190</v>
      </c>
      <c r="I92" s="2">
        <v>0</v>
      </c>
      <c r="J92" s="2">
        <v>0</v>
      </c>
      <c r="K92" s="2">
        <v>1</v>
      </c>
      <c r="L92" s="2">
        <v>0</v>
      </c>
      <c r="M92" s="2">
        <v>1</v>
      </c>
      <c r="N92" s="2">
        <v>1</v>
      </c>
    </row>
    <row r="93" spans="1:14" customFormat="1" x14ac:dyDescent="0.25">
      <c r="A93" s="2">
        <v>47</v>
      </c>
      <c r="B93" s="2">
        <v>1</v>
      </c>
      <c r="C93" s="2">
        <v>0</v>
      </c>
      <c r="D93" s="2">
        <v>110</v>
      </c>
      <c r="E93" s="2">
        <v>275</v>
      </c>
      <c r="F93" s="2">
        <v>0</v>
      </c>
      <c r="G93" s="2">
        <v>0</v>
      </c>
      <c r="H93" s="2">
        <v>118</v>
      </c>
      <c r="I93" s="2">
        <v>1</v>
      </c>
      <c r="J93" s="2">
        <v>1</v>
      </c>
      <c r="K93" s="2">
        <v>1</v>
      </c>
      <c r="L93" s="2">
        <v>1</v>
      </c>
      <c r="M93" s="2">
        <v>2</v>
      </c>
      <c r="N93" s="2">
        <v>0</v>
      </c>
    </row>
    <row r="94" spans="1:14" customFormat="1" x14ac:dyDescent="0.25">
      <c r="A94" s="2">
        <v>51</v>
      </c>
      <c r="B94" s="2">
        <v>1</v>
      </c>
      <c r="C94" s="2">
        <v>0</v>
      </c>
      <c r="D94" s="2">
        <v>140</v>
      </c>
      <c r="E94" s="2">
        <v>299</v>
      </c>
      <c r="F94" s="2">
        <v>0</v>
      </c>
      <c r="G94" s="2">
        <v>1</v>
      </c>
      <c r="H94" s="2">
        <v>173</v>
      </c>
      <c r="I94" s="2">
        <v>1</v>
      </c>
      <c r="J94" s="2">
        <v>1.6</v>
      </c>
      <c r="K94" s="2">
        <v>2</v>
      </c>
      <c r="L94" s="2">
        <v>0</v>
      </c>
      <c r="M94" s="2">
        <v>3</v>
      </c>
      <c r="N94" s="2">
        <v>0</v>
      </c>
    </row>
    <row r="95" spans="1:14" customFormat="1" x14ac:dyDescent="0.25">
      <c r="A95" s="2">
        <v>62</v>
      </c>
      <c r="B95" s="2">
        <v>1</v>
      </c>
      <c r="C95" s="2">
        <v>1</v>
      </c>
      <c r="D95" s="2">
        <v>120</v>
      </c>
      <c r="E95" s="2">
        <v>281</v>
      </c>
      <c r="F95" s="2">
        <v>0</v>
      </c>
      <c r="G95" s="2">
        <v>0</v>
      </c>
      <c r="H95" s="2">
        <v>103</v>
      </c>
      <c r="I95" s="2">
        <v>0</v>
      </c>
      <c r="J95" s="2">
        <v>1.4</v>
      </c>
      <c r="K95" s="2">
        <v>1</v>
      </c>
      <c r="L95" s="2">
        <v>1</v>
      </c>
      <c r="M95" s="2">
        <v>3</v>
      </c>
      <c r="N95" s="2">
        <v>0</v>
      </c>
    </row>
    <row r="96" spans="1:14" customFormat="1" x14ac:dyDescent="0.25">
      <c r="A96" s="2">
        <v>40</v>
      </c>
      <c r="B96" s="2">
        <v>1</v>
      </c>
      <c r="C96" s="2">
        <v>0</v>
      </c>
      <c r="D96" s="2">
        <v>152</v>
      </c>
      <c r="E96" s="2">
        <v>223</v>
      </c>
      <c r="F96" s="2">
        <v>0</v>
      </c>
      <c r="G96" s="2">
        <v>1</v>
      </c>
      <c r="H96" s="2">
        <v>181</v>
      </c>
      <c r="I96" s="2">
        <v>0</v>
      </c>
      <c r="J96" s="2">
        <v>0</v>
      </c>
      <c r="K96" s="2">
        <v>2</v>
      </c>
      <c r="L96" s="2">
        <v>0</v>
      </c>
      <c r="M96" s="2">
        <v>3</v>
      </c>
      <c r="N96" s="2">
        <v>0</v>
      </c>
    </row>
    <row r="97" spans="1:14" customFormat="1" x14ac:dyDescent="0.25">
      <c r="A97" s="2">
        <v>54</v>
      </c>
      <c r="B97" s="2">
        <v>1</v>
      </c>
      <c r="C97" s="2">
        <v>0</v>
      </c>
      <c r="D97" s="2">
        <v>110</v>
      </c>
      <c r="E97" s="2">
        <v>206</v>
      </c>
      <c r="F97" s="2">
        <v>0</v>
      </c>
      <c r="G97" s="2">
        <v>0</v>
      </c>
      <c r="H97" s="2">
        <v>108</v>
      </c>
      <c r="I97" s="2">
        <v>1</v>
      </c>
      <c r="J97" s="2">
        <v>0</v>
      </c>
      <c r="K97" s="2">
        <v>1</v>
      </c>
      <c r="L97" s="2">
        <v>1</v>
      </c>
      <c r="M97" s="2">
        <v>2</v>
      </c>
      <c r="N97" s="2">
        <v>0</v>
      </c>
    </row>
    <row r="98" spans="1:14" customFormat="1" x14ac:dyDescent="0.25">
      <c r="A98" s="2">
        <v>44</v>
      </c>
      <c r="B98" s="2">
        <v>1</v>
      </c>
      <c r="C98" s="2">
        <v>0</v>
      </c>
      <c r="D98" s="2">
        <v>110</v>
      </c>
      <c r="E98" s="2">
        <v>197</v>
      </c>
      <c r="F98" s="2">
        <v>0</v>
      </c>
      <c r="G98" s="2">
        <v>0</v>
      </c>
      <c r="H98" s="2">
        <v>177</v>
      </c>
      <c r="I98" s="2">
        <v>0</v>
      </c>
      <c r="J98" s="2">
        <v>0</v>
      </c>
      <c r="K98" s="2">
        <v>2</v>
      </c>
      <c r="L98" s="2">
        <v>1</v>
      </c>
      <c r="M98" s="2">
        <v>2</v>
      </c>
      <c r="N98" s="2">
        <v>0</v>
      </c>
    </row>
    <row r="99" spans="1:14" customFormat="1" x14ac:dyDescent="0.25">
      <c r="A99" s="2">
        <v>53</v>
      </c>
      <c r="B99" s="2">
        <v>1</v>
      </c>
      <c r="C99" s="2">
        <v>0</v>
      </c>
      <c r="D99" s="2">
        <v>142</v>
      </c>
      <c r="E99" s="2">
        <v>226</v>
      </c>
      <c r="F99" s="2">
        <v>0</v>
      </c>
      <c r="G99" s="2">
        <v>0</v>
      </c>
      <c r="H99" s="2">
        <v>111</v>
      </c>
      <c r="I99" s="2">
        <v>1</v>
      </c>
      <c r="J99" s="2">
        <v>0</v>
      </c>
      <c r="K99" s="2">
        <v>2</v>
      </c>
      <c r="L99" s="2">
        <v>0</v>
      </c>
      <c r="M99" s="2">
        <v>3</v>
      </c>
      <c r="N99" s="2">
        <v>1</v>
      </c>
    </row>
    <row r="100" spans="1:14" customFormat="1" x14ac:dyDescent="0.25">
      <c r="A100" s="2">
        <v>57</v>
      </c>
      <c r="B100" s="2">
        <v>1</v>
      </c>
      <c r="C100" s="2">
        <v>0</v>
      </c>
      <c r="D100" s="2">
        <v>110</v>
      </c>
      <c r="E100" s="2">
        <v>335</v>
      </c>
      <c r="F100" s="2">
        <v>0</v>
      </c>
      <c r="G100" s="2">
        <v>1</v>
      </c>
      <c r="H100" s="2">
        <v>143</v>
      </c>
      <c r="I100" s="2">
        <v>1</v>
      </c>
      <c r="J100" s="2">
        <v>3</v>
      </c>
      <c r="K100" s="2">
        <v>1</v>
      </c>
      <c r="L100" s="2">
        <v>1</v>
      </c>
      <c r="M100" s="2">
        <v>3</v>
      </c>
      <c r="N100" s="2">
        <v>0</v>
      </c>
    </row>
    <row r="101" spans="1:14" customFormat="1" x14ac:dyDescent="0.25">
      <c r="A101" s="2">
        <v>59</v>
      </c>
      <c r="B101" s="2">
        <v>1</v>
      </c>
      <c r="C101" s="2">
        <v>2</v>
      </c>
      <c r="D101" s="2">
        <v>126</v>
      </c>
      <c r="E101" s="2">
        <v>218</v>
      </c>
      <c r="F101" s="2">
        <v>1</v>
      </c>
      <c r="G101" s="2">
        <v>1</v>
      </c>
      <c r="H101" s="2">
        <v>134</v>
      </c>
      <c r="I101" s="2">
        <v>0</v>
      </c>
      <c r="J101" s="2">
        <v>2.2000000000000002</v>
      </c>
      <c r="K101" s="2">
        <v>1</v>
      </c>
      <c r="L101" s="2">
        <v>1</v>
      </c>
      <c r="M101" s="2">
        <v>1</v>
      </c>
      <c r="N101" s="2">
        <v>0</v>
      </c>
    </row>
    <row r="102" spans="1:14" customFormat="1" x14ac:dyDescent="0.25">
      <c r="A102" s="2">
        <v>63</v>
      </c>
      <c r="B102" s="2">
        <v>1</v>
      </c>
      <c r="C102" s="2">
        <v>0</v>
      </c>
      <c r="D102" s="2">
        <v>130</v>
      </c>
      <c r="E102" s="2">
        <v>254</v>
      </c>
      <c r="F102" s="2">
        <v>0</v>
      </c>
      <c r="G102" s="2">
        <v>0</v>
      </c>
      <c r="H102" s="2">
        <v>147</v>
      </c>
      <c r="I102" s="2">
        <v>0</v>
      </c>
      <c r="J102" s="2">
        <v>1.4</v>
      </c>
      <c r="K102" s="2">
        <v>1</v>
      </c>
      <c r="L102" s="2">
        <v>1</v>
      </c>
      <c r="M102" s="2">
        <v>3</v>
      </c>
      <c r="N102" s="2">
        <v>0</v>
      </c>
    </row>
    <row r="103" spans="1:14" customFormat="1" x14ac:dyDescent="0.25">
      <c r="A103" s="2">
        <v>43</v>
      </c>
      <c r="B103" s="2">
        <v>1</v>
      </c>
      <c r="C103" s="2">
        <v>0</v>
      </c>
      <c r="D103" s="2">
        <v>120</v>
      </c>
      <c r="E103" s="2">
        <v>177</v>
      </c>
      <c r="F103" s="2">
        <v>0</v>
      </c>
      <c r="G103" s="2">
        <v>0</v>
      </c>
      <c r="H103" s="2">
        <v>120</v>
      </c>
      <c r="I103" s="2">
        <v>1</v>
      </c>
      <c r="J103" s="2">
        <v>2.5</v>
      </c>
      <c r="K103" s="2">
        <v>1</v>
      </c>
      <c r="L103" s="2">
        <v>0</v>
      </c>
      <c r="M103" s="2">
        <v>3</v>
      </c>
      <c r="N103" s="2">
        <v>0</v>
      </c>
    </row>
    <row r="104" spans="1:14" customFormat="1" x14ac:dyDescent="0.25">
      <c r="A104" s="2">
        <v>42</v>
      </c>
      <c r="B104" s="2">
        <v>1</v>
      </c>
      <c r="C104" s="2">
        <v>1</v>
      </c>
      <c r="D104" s="2">
        <v>120</v>
      </c>
      <c r="E104" s="2">
        <v>295</v>
      </c>
      <c r="F104" s="2">
        <v>0</v>
      </c>
      <c r="G104" s="2">
        <v>1</v>
      </c>
      <c r="H104" s="2">
        <v>162</v>
      </c>
      <c r="I104" s="2">
        <v>0</v>
      </c>
      <c r="J104" s="2">
        <v>0</v>
      </c>
      <c r="K104" s="2">
        <v>2</v>
      </c>
      <c r="L104" s="2">
        <v>0</v>
      </c>
      <c r="M104" s="2">
        <v>2</v>
      </c>
      <c r="N104" s="2">
        <v>1</v>
      </c>
    </row>
    <row r="105" spans="1:14" customFormat="1" x14ac:dyDescent="0.25">
      <c r="A105" s="2">
        <v>60</v>
      </c>
      <c r="B105" s="2">
        <v>1</v>
      </c>
      <c r="C105" s="2">
        <v>0</v>
      </c>
      <c r="D105" s="2">
        <v>145</v>
      </c>
      <c r="E105" s="2">
        <v>282</v>
      </c>
      <c r="F105" s="2">
        <v>0</v>
      </c>
      <c r="G105" s="2">
        <v>0</v>
      </c>
      <c r="H105" s="2">
        <v>142</v>
      </c>
      <c r="I105" s="2">
        <v>1</v>
      </c>
      <c r="J105" s="2">
        <v>2.8</v>
      </c>
      <c r="K105" s="2">
        <v>1</v>
      </c>
      <c r="L105" s="2">
        <v>2</v>
      </c>
      <c r="M105" s="2">
        <v>3</v>
      </c>
      <c r="N105" s="2">
        <v>0</v>
      </c>
    </row>
    <row r="106" spans="1:14" customFormat="1" x14ac:dyDescent="0.25">
      <c r="A106" s="2">
        <v>65</v>
      </c>
      <c r="B106" s="2">
        <v>0</v>
      </c>
      <c r="C106" s="2">
        <v>2</v>
      </c>
      <c r="D106" s="2">
        <v>140</v>
      </c>
      <c r="E106" s="2">
        <v>417</v>
      </c>
      <c r="F106" s="2">
        <v>1</v>
      </c>
      <c r="G106" s="2">
        <v>0</v>
      </c>
      <c r="H106" s="2">
        <v>157</v>
      </c>
      <c r="I106" s="2">
        <v>0</v>
      </c>
      <c r="J106" s="2">
        <v>0.8</v>
      </c>
      <c r="K106" s="2">
        <v>2</v>
      </c>
      <c r="L106" s="2">
        <v>1</v>
      </c>
      <c r="M106" s="2">
        <v>2</v>
      </c>
      <c r="N106" s="2">
        <v>1</v>
      </c>
    </row>
    <row r="107" spans="1:14" customFormat="1" x14ac:dyDescent="0.25">
      <c r="A107" s="2">
        <v>61</v>
      </c>
      <c r="B107" s="2">
        <v>1</v>
      </c>
      <c r="C107" s="2">
        <v>0</v>
      </c>
      <c r="D107" s="2">
        <v>120</v>
      </c>
      <c r="E107" s="2">
        <v>260</v>
      </c>
      <c r="F107" s="2">
        <v>0</v>
      </c>
      <c r="G107" s="2">
        <v>1</v>
      </c>
      <c r="H107" s="2">
        <v>140</v>
      </c>
      <c r="I107" s="2">
        <v>1</v>
      </c>
      <c r="J107" s="2">
        <v>3.6</v>
      </c>
      <c r="K107" s="2">
        <v>1</v>
      </c>
      <c r="L107" s="2">
        <v>1</v>
      </c>
      <c r="M107" s="2">
        <v>3</v>
      </c>
      <c r="N107" s="2">
        <v>0</v>
      </c>
    </row>
    <row r="108" spans="1:14" customFormat="1" x14ac:dyDescent="0.25">
      <c r="A108" s="2">
        <v>60</v>
      </c>
      <c r="B108" s="2">
        <v>0</v>
      </c>
      <c r="C108" s="2">
        <v>3</v>
      </c>
      <c r="D108" s="2">
        <v>150</v>
      </c>
      <c r="E108" s="2">
        <v>240</v>
      </c>
      <c r="F108" s="2">
        <v>0</v>
      </c>
      <c r="G108" s="2">
        <v>1</v>
      </c>
      <c r="H108" s="2">
        <v>171</v>
      </c>
      <c r="I108" s="2">
        <v>0</v>
      </c>
      <c r="J108" s="2">
        <v>0.9</v>
      </c>
      <c r="K108" s="2">
        <v>2</v>
      </c>
      <c r="L108" s="2">
        <v>0</v>
      </c>
      <c r="M108" s="2">
        <v>2</v>
      </c>
      <c r="N108" s="2">
        <v>1</v>
      </c>
    </row>
    <row r="109" spans="1:14" customFormat="1" x14ac:dyDescent="0.25">
      <c r="A109" s="2">
        <v>66</v>
      </c>
      <c r="B109" s="2">
        <v>1</v>
      </c>
      <c r="C109" s="2">
        <v>0</v>
      </c>
      <c r="D109" s="2">
        <v>120</v>
      </c>
      <c r="E109" s="2">
        <v>302</v>
      </c>
      <c r="F109" s="2">
        <v>0</v>
      </c>
      <c r="G109" s="2">
        <v>0</v>
      </c>
      <c r="H109" s="2">
        <v>151</v>
      </c>
      <c r="I109" s="2">
        <v>0</v>
      </c>
      <c r="J109" s="2">
        <v>0.4</v>
      </c>
      <c r="K109" s="2">
        <v>1</v>
      </c>
      <c r="L109" s="2">
        <v>0</v>
      </c>
      <c r="M109" s="2">
        <v>2</v>
      </c>
      <c r="N109" s="2">
        <v>1</v>
      </c>
    </row>
    <row r="110" spans="1:14" customFormat="1" x14ac:dyDescent="0.25">
      <c r="A110" s="2">
        <v>52</v>
      </c>
      <c r="B110" s="2">
        <v>1</v>
      </c>
      <c r="C110" s="2">
        <v>2</v>
      </c>
      <c r="D110" s="2">
        <v>138</v>
      </c>
      <c r="E110" s="2">
        <v>223</v>
      </c>
      <c r="F110" s="2">
        <v>0</v>
      </c>
      <c r="G110" s="2">
        <v>1</v>
      </c>
      <c r="H110" s="2">
        <v>169</v>
      </c>
      <c r="I110" s="2">
        <v>0</v>
      </c>
      <c r="J110" s="2">
        <v>0</v>
      </c>
      <c r="K110" s="2">
        <v>2</v>
      </c>
      <c r="L110" s="2">
        <v>4</v>
      </c>
      <c r="M110" s="2">
        <v>2</v>
      </c>
      <c r="N110" s="2">
        <v>1</v>
      </c>
    </row>
    <row r="111" spans="1:14" customFormat="1" x14ac:dyDescent="0.25">
      <c r="A111" s="2">
        <v>57</v>
      </c>
      <c r="B111" s="2">
        <v>1</v>
      </c>
      <c r="C111" s="2">
        <v>0</v>
      </c>
      <c r="D111" s="2">
        <v>140</v>
      </c>
      <c r="E111" s="2">
        <v>192</v>
      </c>
      <c r="F111" s="2">
        <v>0</v>
      </c>
      <c r="G111" s="2">
        <v>1</v>
      </c>
      <c r="H111" s="2">
        <v>148</v>
      </c>
      <c r="I111" s="2">
        <v>0</v>
      </c>
      <c r="J111" s="2">
        <v>0.4</v>
      </c>
      <c r="K111" s="2">
        <v>1</v>
      </c>
      <c r="L111" s="2">
        <v>0</v>
      </c>
      <c r="M111" s="2">
        <v>1</v>
      </c>
      <c r="N111" s="2">
        <v>1</v>
      </c>
    </row>
    <row r="112" spans="1:14" customFormat="1" x14ac:dyDescent="0.25">
      <c r="A112" s="2">
        <v>51</v>
      </c>
      <c r="B112" s="2">
        <v>0</v>
      </c>
      <c r="C112" s="2">
        <v>2</v>
      </c>
      <c r="D112" s="2">
        <v>130</v>
      </c>
      <c r="E112" s="2">
        <v>256</v>
      </c>
      <c r="F112" s="2">
        <v>0</v>
      </c>
      <c r="G112" s="2">
        <v>0</v>
      </c>
      <c r="H112" s="2">
        <v>149</v>
      </c>
      <c r="I112" s="2">
        <v>0</v>
      </c>
      <c r="J112" s="2">
        <v>0.5</v>
      </c>
      <c r="K112" s="2">
        <v>2</v>
      </c>
      <c r="L112" s="2">
        <v>0</v>
      </c>
      <c r="M112" s="2">
        <v>2</v>
      </c>
      <c r="N112" s="2">
        <v>1</v>
      </c>
    </row>
    <row r="113" spans="1:14" customFormat="1" x14ac:dyDescent="0.25">
      <c r="A113" s="2">
        <v>58</v>
      </c>
      <c r="B113" s="2">
        <v>0</v>
      </c>
      <c r="C113" s="2">
        <v>0</v>
      </c>
      <c r="D113" s="2">
        <v>170</v>
      </c>
      <c r="E113" s="2">
        <v>225</v>
      </c>
      <c r="F113" s="2">
        <v>1</v>
      </c>
      <c r="G113" s="2">
        <v>0</v>
      </c>
      <c r="H113" s="2">
        <v>146</v>
      </c>
      <c r="I113" s="2">
        <v>1</v>
      </c>
      <c r="J113" s="2">
        <v>2.8</v>
      </c>
      <c r="K113" s="2">
        <v>1</v>
      </c>
      <c r="L113" s="2">
        <v>2</v>
      </c>
      <c r="M113" s="2">
        <v>1</v>
      </c>
      <c r="N113" s="2">
        <v>0</v>
      </c>
    </row>
    <row r="114" spans="1:14" customFormat="1" x14ac:dyDescent="0.25">
      <c r="A114" s="2">
        <v>64</v>
      </c>
      <c r="B114" s="2">
        <v>0</v>
      </c>
      <c r="C114" s="2">
        <v>0</v>
      </c>
      <c r="D114" s="2">
        <v>180</v>
      </c>
      <c r="E114" s="2">
        <v>325</v>
      </c>
      <c r="F114" s="2">
        <v>0</v>
      </c>
      <c r="G114" s="2">
        <v>1</v>
      </c>
      <c r="H114" s="2">
        <v>154</v>
      </c>
      <c r="I114" s="2">
        <v>1</v>
      </c>
      <c r="J114" s="2">
        <v>0</v>
      </c>
      <c r="K114" s="2">
        <v>2</v>
      </c>
      <c r="L114" s="2">
        <v>0</v>
      </c>
      <c r="M114" s="2">
        <v>2</v>
      </c>
      <c r="N114" s="2">
        <v>1</v>
      </c>
    </row>
    <row r="115" spans="1:14" customFormat="1" x14ac:dyDescent="0.25">
      <c r="A115" s="2">
        <v>41</v>
      </c>
      <c r="B115" s="2">
        <v>1</v>
      </c>
      <c r="C115" s="2">
        <v>1</v>
      </c>
      <c r="D115" s="2">
        <v>110</v>
      </c>
      <c r="E115" s="2">
        <v>235</v>
      </c>
      <c r="F115" s="2">
        <v>0</v>
      </c>
      <c r="G115" s="2">
        <v>1</v>
      </c>
      <c r="H115" s="2">
        <v>153</v>
      </c>
      <c r="I115" s="2">
        <v>0</v>
      </c>
      <c r="J115" s="2">
        <v>0</v>
      </c>
      <c r="K115" s="2">
        <v>2</v>
      </c>
      <c r="L115" s="2">
        <v>0</v>
      </c>
      <c r="M115" s="2">
        <v>2</v>
      </c>
      <c r="N115" s="2">
        <v>1</v>
      </c>
    </row>
    <row r="116" spans="1:14" customFormat="1" x14ac:dyDescent="0.25">
      <c r="A116" s="2">
        <v>57</v>
      </c>
      <c r="B116" s="2">
        <v>1</v>
      </c>
      <c r="C116" s="2">
        <v>0</v>
      </c>
      <c r="D116" s="2">
        <v>152</v>
      </c>
      <c r="E116" s="2">
        <v>274</v>
      </c>
      <c r="F116" s="2">
        <v>0</v>
      </c>
      <c r="G116" s="2">
        <v>1</v>
      </c>
      <c r="H116" s="2">
        <v>88</v>
      </c>
      <c r="I116" s="2">
        <v>1</v>
      </c>
      <c r="J116" s="2">
        <v>1.2</v>
      </c>
      <c r="K116" s="2">
        <v>1</v>
      </c>
      <c r="L116" s="2">
        <v>1</v>
      </c>
      <c r="M116" s="2">
        <v>3</v>
      </c>
      <c r="N116" s="2">
        <v>0</v>
      </c>
    </row>
    <row r="117" spans="1:14" customFormat="1" x14ac:dyDescent="0.25">
      <c r="A117" s="2">
        <v>63</v>
      </c>
      <c r="B117" s="2">
        <v>0</v>
      </c>
      <c r="C117" s="2">
        <v>0</v>
      </c>
      <c r="D117" s="2">
        <v>124</v>
      </c>
      <c r="E117" s="2">
        <v>197</v>
      </c>
      <c r="F117" s="2">
        <v>0</v>
      </c>
      <c r="G117" s="2">
        <v>1</v>
      </c>
      <c r="H117" s="2">
        <v>136</v>
      </c>
      <c r="I117" s="2">
        <v>1</v>
      </c>
      <c r="J117" s="2">
        <v>0</v>
      </c>
      <c r="K117" s="2">
        <v>1</v>
      </c>
      <c r="L117" s="2">
        <v>0</v>
      </c>
      <c r="M117" s="2">
        <v>2</v>
      </c>
      <c r="N117" s="2">
        <v>0</v>
      </c>
    </row>
    <row r="118" spans="1:14" customFormat="1" x14ac:dyDescent="0.25">
      <c r="A118" s="2">
        <v>61</v>
      </c>
      <c r="B118" s="2">
        <v>1</v>
      </c>
      <c r="C118" s="2">
        <v>3</v>
      </c>
      <c r="D118" s="2">
        <v>134</v>
      </c>
      <c r="E118" s="2">
        <v>234</v>
      </c>
      <c r="F118" s="2">
        <v>0</v>
      </c>
      <c r="G118" s="2">
        <v>1</v>
      </c>
      <c r="H118" s="2">
        <v>145</v>
      </c>
      <c r="I118" s="2">
        <v>0</v>
      </c>
      <c r="J118" s="2">
        <v>2.6</v>
      </c>
      <c r="K118" s="2">
        <v>1</v>
      </c>
      <c r="L118" s="2">
        <v>2</v>
      </c>
      <c r="M118" s="2">
        <v>2</v>
      </c>
      <c r="N118" s="2">
        <v>0</v>
      </c>
    </row>
    <row r="119" spans="1:14" customFormat="1" x14ac:dyDescent="0.25">
      <c r="A119" s="2">
        <v>34</v>
      </c>
      <c r="B119" s="2">
        <v>1</v>
      </c>
      <c r="C119" s="2">
        <v>3</v>
      </c>
      <c r="D119" s="2">
        <v>118</v>
      </c>
      <c r="E119" s="2">
        <v>182</v>
      </c>
      <c r="F119" s="2">
        <v>0</v>
      </c>
      <c r="G119" s="2">
        <v>0</v>
      </c>
      <c r="H119" s="2">
        <v>174</v>
      </c>
      <c r="I119" s="2">
        <v>0</v>
      </c>
      <c r="J119" s="2">
        <v>0</v>
      </c>
      <c r="K119" s="2">
        <v>2</v>
      </c>
      <c r="L119" s="2">
        <v>0</v>
      </c>
      <c r="M119" s="2">
        <v>2</v>
      </c>
      <c r="N119" s="2">
        <v>1</v>
      </c>
    </row>
    <row r="120" spans="1:14" customFormat="1" x14ac:dyDescent="0.25">
      <c r="A120" s="2">
        <v>47</v>
      </c>
      <c r="B120" s="2">
        <v>1</v>
      </c>
      <c r="C120" s="2">
        <v>0</v>
      </c>
      <c r="D120" s="2">
        <v>112</v>
      </c>
      <c r="E120" s="2">
        <v>204</v>
      </c>
      <c r="F120" s="2">
        <v>0</v>
      </c>
      <c r="G120" s="2">
        <v>1</v>
      </c>
      <c r="H120" s="2">
        <v>143</v>
      </c>
      <c r="I120" s="2">
        <v>0</v>
      </c>
      <c r="J120" s="2">
        <v>0.1</v>
      </c>
      <c r="K120" s="2">
        <v>2</v>
      </c>
      <c r="L120" s="2">
        <v>0</v>
      </c>
      <c r="M120" s="2">
        <v>2</v>
      </c>
      <c r="N120" s="2">
        <v>1</v>
      </c>
    </row>
    <row r="121" spans="1:14" customFormat="1" x14ac:dyDescent="0.25">
      <c r="A121" s="2">
        <v>40</v>
      </c>
      <c r="B121" s="2">
        <v>1</v>
      </c>
      <c r="C121" s="2">
        <v>0</v>
      </c>
      <c r="D121" s="2">
        <v>110</v>
      </c>
      <c r="E121" s="2">
        <v>167</v>
      </c>
      <c r="F121" s="2">
        <v>0</v>
      </c>
      <c r="G121" s="2">
        <v>0</v>
      </c>
      <c r="H121" s="2">
        <v>114</v>
      </c>
      <c r="I121" s="2">
        <v>1</v>
      </c>
      <c r="J121" s="2">
        <v>2</v>
      </c>
      <c r="K121" s="2">
        <v>1</v>
      </c>
      <c r="L121" s="2">
        <v>0</v>
      </c>
      <c r="M121" s="2">
        <v>3</v>
      </c>
      <c r="N121" s="2">
        <v>0</v>
      </c>
    </row>
    <row r="122" spans="1:14" customFormat="1" x14ac:dyDescent="0.25">
      <c r="A122" s="2">
        <v>51</v>
      </c>
      <c r="B122" s="2">
        <v>0</v>
      </c>
      <c r="C122" s="2">
        <v>2</v>
      </c>
      <c r="D122" s="2">
        <v>120</v>
      </c>
      <c r="E122" s="2">
        <v>295</v>
      </c>
      <c r="F122" s="2">
        <v>0</v>
      </c>
      <c r="G122" s="2">
        <v>0</v>
      </c>
      <c r="H122" s="2">
        <v>157</v>
      </c>
      <c r="I122" s="2">
        <v>0</v>
      </c>
      <c r="J122" s="2">
        <v>0.6</v>
      </c>
      <c r="K122" s="2">
        <v>2</v>
      </c>
      <c r="L122" s="2">
        <v>0</v>
      </c>
      <c r="M122" s="2">
        <v>2</v>
      </c>
      <c r="N122" s="2">
        <v>1</v>
      </c>
    </row>
    <row r="123" spans="1:14" customFormat="1" x14ac:dyDescent="0.25">
      <c r="A123" s="2">
        <v>41</v>
      </c>
      <c r="B123" s="2">
        <v>1</v>
      </c>
      <c r="C123" s="2">
        <v>0</v>
      </c>
      <c r="D123" s="2">
        <v>110</v>
      </c>
      <c r="E123" s="2">
        <v>172</v>
      </c>
      <c r="F123" s="2">
        <v>0</v>
      </c>
      <c r="G123" s="2">
        <v>0</v>
      </c>
      <c r="H123" s="2">
        <v>158</v>
      </c>
      <c r="I123" s="2">
        <v>0</v>
      </c>
      <c r="J123" s="2">
        <v>0</v>
      </c>
      <c r="K123" s="2">
        <v>2</v>
      </c>
      <c r="L123" s="2">
        <v>0</v>
      </c>
      <c r="M123" s="2">
        <v>3</v>
      </c>
      <c r="N123" s="2">
        <v>0</v>
      </c>
    </row>
    <row r="124" spans="1:14" customFormat="1" x14ac:dyDescent="0.25">
      <c r="A124" s="2">
        <v>52</v>
      </c>
      <c r="B124" s="2">
        <v>1</v>
      </c>
      <c r="C124" s="2">
        <v>3</v>
      </c>
      <c r="D124" s="2">
        <v>152</v>
      </c>
      <c r="E124" s="2">
        <v>298</v>
      </c>
      <c r="F124" s="2">
        <v>1</v>
      </c>
      <c r="G124" s="2">
        <v>1</v>
      </c>
      <c r="H124" s="2">
        <v>178</v>
      </c>
      <c r="I124" s="2">
        <v>0</v>
      </c>
      <c r="J124" s="2">
        <v>1.2</v>
      </c>
      <c r="K124" s="2">
        <v>1</v>
      </c>
      <c r="L124" s="2">
        <v>0</v>
      </c>
      <c r="M124" s="2">
        <v>3</v>
      </c>
      <c r="N124" s="2">
        <v>1</v>
      </c>
    </row>
    <row r="125" spans="1:14" customFormat="1" x14ac:dyDescent="0.25">
      <c r="A125" s="2">
        <v>39</v>
      </c>
      <c r="B125" s="2">
        <v>1</v>
      </c>
      <c r="C125" s="2">
        <v>2</v>
      </c>
      <c r="D125" s="2">
        <v>140</v>
      </c>
      <c r="E125" s="2">
        <v>321</v>
      </c>
      <c r="F125" s="2">
        <v>0</v>
      </c>
      <c r="G125" s="2">
        <v>0</v>
      </c>
      <c r="H125" s="2">
        <v>182</v>
      </c>
      <c r="I125" s="2">
        <v>0</v>
      </c>
      <c r="J125" s="2">
        <v>0</v>
      </c>
      <c r="K125" s="2">
        <v>2</v>
      </c>
      <c r="L125" s="2">
        <v>0</v>
      </c>
      <c r="M125" s="2">
        <v>2</v>
      </c>
      <c r="N125" s="2">
        <v>1</v>
      </c>
    </row>
    <row r="126" spans="1:14" customFormat="1" x14ac:dyDescent="0.25">
      <c r="A126" s="2">
        <v>54</v>
      </c>
      <c r="B126" s="2">
        <v>1</v>
      </c>
      <c r="C126" s="2">
        <v>1</v>
      </c>
      <c r="D126" s="2">
        <v>192</v>
      </c>
      <c r="E126" s="2">
        <v>283</v>
      </c>
      <c r="F126" s="2">
        <v>0</v>
      </c>
      <c r="G126" s="2">
        <v>0</v>
      </c>
      <c r="H126" s="2">
        <v>195</v>
      </c>
      <c r="I126" s="2">
        <v>0</v>
      </c>
      <c r="J126" s="2">
        <v>0</v>
      </c>
      <c r="K126" s="2">
        <v>2</v>
      </c>
      <c r="L126" s="2">
        <v>1</v>
      </c>
      <c r="M126" s="2">
        <v>3</v>
      </c>
      <c r="N126" s="2">
        <v>0</v>
      </c>
    </row>
    <row r="127" spans="1:14" customFormat="1" x14ac:dyDescent="0.25">
      <c r="A127" s="2">
        <v>58</v>
      </c>
      <c r="B127" s="2">
        <v>1</v>
      </c>
      <c r="C127" s="2">
        <v>0</v>
      </c>
      <c r="D127" s="2">
        <v>125</v>
      </c>
      <c r="E127" s="2">
        <v>300</v>
      </c>
      <c r="F127" s="2">
        <v>0</v>
      </c>
      <c r="G127" s="2">
        <v>0</v>
      </c>
      <c r="H127" s="2">
        <v>171</v>
      </c>
      <c r="I127" s="2">
        <v>0</v>
      </c>
      <c r="J127" s="2">
        <v>0</v>
      </c>
      <c r="K127" s="2">
        <v>2</v>
      </c>
      <c r="L127" s="2">
        <v>2</v>
      </c>
      <c r="M127" s="2">
        <v>3</v>
      </c>
      <c r="N127" s="2">
        <v>0</v>
      </c>
    </row>
    <row r="128" spans="1:14" customFormat="1" x14ac:dyDescent="0.25">
      <c r="A128" s="2">
        <v>63</v>
      </c>
      <c r="B128" s="2">
        <v>1</v>
      </c>
      <c r="C128" s="2">
        <v>0</v>
      </c>
      <c r="D128" s="2">
        <v>130</v>
      </c>
      <c r="E128" s="2">
        <v>330</v>
      </c>
      <c r="F128" s="2">
        <v>1</v>
      </c>
      <c r="G128" s="2">
        <v>0</v>
      </c>
      <c r="H128" s="2">
        <v>132</v>
      </c>
      <c r="I128" s="2">
        <v>1</v>
      </c>
      <c r="J128" s="2">
        <v>1.8</v>
      </c>
      <c r="K128" s="2">
        <v>2</v>
      </c>
      <c r="L128" s="2">
        <v>3</v>
      </c>
      <c r="M128" s="2">
        <v>3</v>
      </c>
      <c r="N128" s="2">
        <v>0</v>
      </c>
    </row>
    <row r="129" spans="1:14" customFormat="1" x14ac:dyDescent="0.25">
      <c r="A129" s="2">
        <v>40</v>
      </c>
      <c r="B129" s="2">
        <v>1</v>
      </c>
      <c r="C129" s="2">
        <v>3</v>
      </c>
      <c r="D129" s="2">
        <v>140</v>
      </c>
      <c r="E129" s="2">
        <v>199</v>
      </c>
      <c r="F129" s="2">
        <v>0</v>
      </c>
      <c r="G129" s="2">
        <v>1</v>
      </c>
      <c r="H129" s="2">
        <v>178</v>
      </c>
      <c r="I129" s="2">
        <v>1</v>
      </c>
      <c r="J129" s="2">
        <v>1.4</v>
      </c>
      <c r="K129" s="2">
        <v>2</v>
      </c>
      <c r="L129" s="2">
        <v>0</v>
      </c>
      <c r="M129" s="2">
        <v>3</v>
      </c>
      <c r="N129" s="2">
        <v>1</v>
      </c>
    </row>
    <row r="130" spans="1:14" customFormat="1" x14ac:dyDescent="0.25">
      <c r="A130" s="2">
        <v>67</v>
      </c>
      <c r="B130" s="2">
        <v>0</v>
      </c>
      <c r="C130" s="2">
        <v>2</v>
      </c>
      <c r="D130" s="2">
        <v>115</v>
      </c>
      <c r="E130" s="2">
        <v>564</v>
      </c>
      <c r="F130" s="2">
        <v>0</v>
      </c>
      <c r="G130" s="2">
        <v>0</v>
      </c>
      <c r="H130" s="2">
        <v>160</v>
      </c>
      <c r="I130" s="2">
        <v>0</v>
      </c>
      <c r="J130" s="2">
        <v>1.6</v>
      </c>
      <c r="K130" s="2">
        <v>1</v>
      </c>
      <c r="L130" s="2">
        <v>0</v>
      </c>
      <c r="M130" s="2">
        <v>3</v>
      </c>
      <c r="N130" s="2">
        <v>1</v>
      </c>
    </row>
    <row r="131" spans="1:14" customFormat="1" x14ac:dyDescent="0.25">
      <c r="A131" s="2">
        <v>41</v>
      </c>
      <c r="B131" s="2">
        <v>1</v>
      </c>
      <c r="C131" s="2">
        <v>1</v>
      </c>
      <c r="D131" s="2">
        <v>120</v>
      </c>
      <c r="E131" s="2">
        <v>157</v>
      </c>
      <c r="F131" s="2">
        <v>0</v>
      </c>
      <c r="G131" s="2">
        <v>1</v>
      </c>
      <c r="H131" s="2">
        <v>182</v>
      </c>
      <c r="I131" s="2">
        <v>0</v>
      </c>
      <c r="J131" s="2">
        <v>0</v>
      </c>
      <c r="K131" s="2">
        <v>2</v>
      </c>
      <c r="L131" s="2">
        <v>0</v>
      </c>
      <c r="M131" s="2">
        <v>2</v>
      </c>
      <c r="N131" s="2">
        <v>1</v>
      </c>
    </row>
    <row r="132" spans="1:14" customFormat="1" x14ac:dyDescent="0.25">
      <c r="A132" s="2">
        <v>77</v>
      </c>
      <c r="B132" s="2">
        <v>1</v>
      </c>
      <c r="C132" s="2">
        <v>0</v>
      </c>
      <c r="D132" s="2">
        <v>125</v>
      </c>
      <c r="E132" s="2">
        <v>304</v>
      </c>
      <c r="F132" s="2">
        <v>0</v>
      </c>
      <c r="G132" s="2">
        <v>0</v>
      </c>
      <c r="H132" s="2">
        <v>162</v>
      </c>
      <c r="I132" s="2">
        <v>1</v>
      </c>
      <c r="J132" s="2">
        <v>0</v>
      </c>
      <c r="K132" s="2">
        <v>2</v>
      </c>
      <c r="L132" s="2">
        <v>3</v>
      </c>
      <c r="M132" s="2">
        <v>2</v>
      </c>
      <c r="N132" s="2">
        <v>0</v>
      </c>
    </row>
    <row r="133" spans="1:14" customFormat="1" x14ac:dyDescent="0.25">
      <c r="A133" s="2">
        <v>51</v>
      </c>
      <c r="B133" s="2">
        <v>1</v>
      </c>
      <c r="C133" s="2">
        <v>2</v>
      </c>
      <c r="D133" s="2">
        <v>100</v>
      </c>
      <c r="E133" s="2">
        <v>222</v>
      </c>
      <c r="F133" s="2">
        <v>0</v>
      </c>
      <c r="G133" s="2">
        <v>1</v>
      </c>
      <c r="H133" s="2">
        <v>143</v>
      </c>
      <c r="I133" s="2">
        <v>1</v>
      </c>
      <c r="J133" s="2">
        <v>1.2</v>
      </c>
      <c r="K133" s="2">
        <v>1</v>
      </c>
      <c r="L133" s="2">
        <v>0</v>
      </c>
      <c r="M133" s="2">
        <v>2</v>
      </c>
      <c r="N133" s="2">
        <v>1</v>
      </c>
    </row>
    <row r="134" spans="1:14" customFormat="1" x14ac:dyDescent="0.25">
      <c r="A134" s="2">
        <v>48</v>
      </c>
      <c r="B134" s="2">
        <v>1</v>
      </c>
      <c r="C134" s="2">
        <v>0</v>
      </c>
      <c r="D134" s="2">
        <v>124</v>
      </c>
      <c r="E134" s="2">
        <v>274</v>
      </c>
      <c r="F134" s="2">
        <v>0</v>
      </c>
      <c r="G134" s="2">
        <v>0</v>
      </c>
      <c r="H134" s="2">
        <v>166</v>
      </c>
      <c r="I134" s="2">
        <v>0</v>
      </c>
      <c r="J134" s="2">
        <v>0.5</v>
      </c>
      <c r="K134" s="2">
        <v>1</v>
      </c>
      <c r="L134" s="2">
        <v>0</v>
      </c>
      <c r="M134" s="2">
        <v>3</v>
      </c>
      <c r="N134" s="2">
        <v>0</v>
      </c>
    </row>
    <row r="135" spans="1:14" customFormat="1" x14ac:dyDescent="0.25">
      <c r="A135" s="2">
        <v>56</v>
      </c>
      <c r="B135" s="2">
        <v>1</v>
      </c>
      <c r="C135" s="2">
        <v>0</v>
      </c>
      <c r="D135" s="2">
        <v>132</v>
      </c>
      <c r="E135" s="2">
        <v>184</v>
      </c>
      <c r="F135" s="2">
        <v>0</v>
      </c>
      <c r="G135" s="2">
        <v>0</v>
      </c>
      <c r="H135" s="2">
        <v>105</v>
      </c>
      <c r="I135" s="2">
        <v>1</v>
      </c>
      <c r="J135" s="2">
        <v>2.1</v>
      </c>
      <c r="K135" s="2">
        <v>1</v>
      </c>
      <c r="L135" s="2">
        <v>1</v>
      </c>
      <c r="M135" s="2">
        <v>1</v>
      </c>
      <c r="N135" s="2">
        <v>0</v>
      </c>
    </row>
    <row r="136" spans="1:14" customFormat="1" x14ac:dyDescent="0.25">
      <c r="A136" s="2">
        <v>57</v>
      </c>
      <c r="B136" s="2">
        <v>0</v>
      </c>
      <c r="C136" s="2">
        <v>0</v>
      </c>
      <c r="D136" s="2">
        <v>120</v>
      </c>
      <c r="E136" s="2">
        <v>354</v>
      </c>
      <c r="F136" s="2">
        <v>0</v>
      </c>
      <c r="G136" s="2">
        <v>1</v>
      </c>
      <c r="H136" s="2">
        <v>163</v>
      </c>
      <c r="I136" s="2">
        <v>1</v>
      </c>
      <c r="J136" s="2">
        <v>0.6</v>
      </c>
      <c r="K136" s="2">
        <v>2</v>
      </c>
      <c r="L136" s="2">
        <v>0</v>
      </c>
      <c r="M136" s="2">
        <v>2</v>
      </c>
      <c r="N136" s="2">
        <v>1</v>
      </c>
    </row>
    <row r="137" spans="1:14" customFormat="1" x14ac:dyDescent="0.25">
      <c r="A137" s="2">
        <v>43</v>
      </c>
      <c r="B137" s="2">
        <v>1</v>
      </c>
      <c r="C137" s="2">
        <v>2</v>
      </c>
      <c r="D137" s="2">
        <v>130</v>
      </c>
      <c r="E137" s="2">
        <v>315</v>
      </c>
      <c r="F137" s="2">
        <v>0</v>
      </c>
      <c r="G137" s="2">
        <v>1</v>
      </c>
      <c r="H137" s="2">
        <v>162</v>
      </c>
      <c r="I137" s="2">
        <v>0</v>
      </c>
      <c r="J137" s="2">
        <v>1.9</v>
      </c>
      <c r="K137" s="2">
        <v>2</v>
      </c>
      <c r="L137" s="2">
        <v>1</v>
      </c>
      <c r="M137" s="2">
        <v>2</v>
      </c>
      <c r="N137" s="2">
        <v>1</v>
      </c>
    </row>
    <row r="138" spans="1:14" customFormat="1" x14ac:dyDescent="0.25">
      <c r="A138" s="2">
        <v>45</v>
      </c>
      <c r="B138" s="2">
        <v>0</v>
      </c>
      <c r="C138" s="2">
        <v>1</v>
      </c>
      <c r="D138" s="2">
        <v>112</v>
      </c>
      <c r="E138" s="2">
        <v>160</v>
      </c>
      <c r="F138" s="2">
        <v>0</v>
      </c>
      <c r="G138" s="2">
        <v>1</v>
      </c>
      <c r="H138" s="2">
        <v>138</v>
      </c>
      <c r="I138" s="2">
        <v>0</v>
      </c>
      <c r="J138" s="2">
        <v>0</v>
      </c>
      <c r="K138" s="2">
        <v>1</v>
      </c>
      <c r="L138" s="2">
        <v>0</v>
      </c>
      <c r="M138" s="2">
        <v>2</v>
      </c>
      <c r="N138" s="2">
        <v>1</v>
      </c>
    </row>
    <row r="139" spans="1:14" customFormat="1" x14ac:dyDescent="0.25">
      <c r="A139" s="2">
        <v>43</v>
      </c>
      <c r="B139" s="2">
        <v>1</v>
      </c>
      <c r="C139" s="2">
        <v>0</v>
      </c>
      <c r="D139" s="2">
        <v>150</v>
      </c>
      <c r="E139" s="2">
        <v>247</v>
      </c>
      <c r="F139" s="2">
        <v>0</v>
      </c>
      <c r="G139" s="2">
        <v>1</v>
      </c>
      <c r="H139" s="2">
        <v>171</v>
      </c>
      <c r="I139" s="2">
        <v>0</v>
      </c>
      <c r="J139" s="2">
        <v>1.5</v>
      </c>
      <c r="K139" s="2">
        <v>2</v>
      </c>
      <c r="L139" s="2">
        <v>0</v>
      </c>
      <c r="M139" s="2">
        <v>2</v>
      </c>
      <c r="N139" s="2">
        <v>1</v>
      </c>
    </row>
    <row r="140" spans="1:14" customFormat="1" x14ac:dyDescent="0.25">
      <c r="A140" s="2">
        <v>56</v>
      </c>
      <c r="B140" s="2">
        <v>1</v>
      </c>
      <c r="C140" s="2">
        <v>0</v>
      </c>
      <c r="D140" s="2">
        <v>130</v>
      </c>
      <c r="E140" s="2">
        <v>283</v>
      </c>
      <c r="F140" s="2">
        <v>1</v>
      </c>
      <c r="G140" s="2">
        <v>0</v>
      </c>
      <c r="H140" s="2">
        <v>103</v>
      </c>
      <c r="I140" s="2">
        <v>1</v>
      </c>
      <c r="J140" s="2">
        <v>1.6</v>
      </c>
      <c r="K140" s="2">
        <v>0</v>
      </c>
      <c r="L140" s="2">
        <v>0</v>
      </c>
      <c r="M140" s="2">
        <v>3</v>
      </c>
      <c r="N140" s="2">
        <v>0</v>
      </c>
    </row>
    <row r="141" spans="1:14" customFormat="1" x14ac:dyDescent="0.25">
      <c r="A141" s="2">
        <v>56</v>
      </c>
      <c r="B141" s="2">
        <v>1</v>
      </c>
      <c r="C141" s="2">
        <v>1</v>
      </c>
      <c r="D141" s="2">
        <v>120</v>
      </c>
      <c r="E141" s="2">
        <v>240</v>
      </c>
      <c r="F141" s="2">
        <v>0</v>
      </c>
      <c r="G141" s="2">
        <v>1</v>
      </c>
      <c r="H141" s="2">
        <v>169</v>
      </c>
      <c r="I141" s="2">
        <v>0</v>
      </c>
      <c r="J141" s="2">
        <v>0</v>
      </c>
      <c r="K141" s="2">
        <v>0</v>
      </c>
      <c r="L141" s="2">
        <v>0</v>
      </c>
      <c r="M141" s="2">
        <v>2</v>
      </c>
      <c r="N141" s="2">
        <v>1</v>
      </c>
    </row>
    <row r="142" spans="1:14" customFormat="1" x14ac:dyDescent="0.25">
      <c r="A142" s="2">
        <v>39</v>
      </c>
      <c r="B142" s="2">
        <v>0</v>
      </c>
      <c r="C142" s="2">
        <v>2</v>
      </c>
      <c r="D142" s="2">
        <v>94</v>
      </c>
      <c r="E142" s="2">
        <v>199</v>
      </c>
      <c r="F142" s="2">
        <v>0</v>
      </c>
      <c r="G142" s="2">
        <v>1</v>
      </c>
      <c r="H142" s="2">
        <v>179</v>
      </c>
      <c r="I142" s="2">
        <v>0</v>
      </c>
      <c r="J142" s="2">
        <v>0</v>
      </c>
      <c r="K142" s="2">
        <v>2</v>
      </c>
      <c r="L142" s="2">
        <v>0</v>
      </c>
      <c r="M142" s="2">
        <v>2</v>
      </c>
      <c r="N142" s="2">
        <v>1</v>
      </c>
    </row>
    <row r="143" spans="1:14" customFormat="1" x14ac:dyDescent="0.25">
      <c r="A143" s="2">
        <v>54</v>
      </c>
      <c r="B143" s="2">
        <v>1</v>
      </c>
      <c r="C143" s="2">
        <v>0</v>
      </c>
      <c r="D143" s="2">
        <v>110</v>
      </c>
      <c r="E143" s="2">
        <v>239</v>
      </c>
      <c r="F143" s="2">
        <v>0</v>
      </c>
      <c r="G143" s="2">
        <v>1</v>
      </c>
      <c r="H143" s="2">
        <v>126</v>
      </c>
      <c r="I143" s="2">
        <v>1</v>
      </c>
      <c r="J143" s="2">
        <v>2.8</v>
      </c>
      <c r="K143" s="2">
        <v>1</v>
      </c>
      <c r="L143" s="2">
        <v>1</v>
      </c>
      <c r="M143" s="2">
        <v>3</v>
      </c>
      <c r="N143" s="2">
        <v>0</v>
      </c>
    </row>
    <row r="144" spans="1:14" customFormat="1" x14ac:dyDescent="0.25">
      <c r="A144" s="2">
        <v>56</v>
      </c>
      <c r="B144" s="2">
        <v>0</v>
      </c>
      <c r="C144" s="2">
        <v>0</v>
      </c>
      <c r="D144" s="2">
        <v>200</v>
      </c>
      <c r="E144" s="2">
        <v>288</v>
      </c>
      <c r="F144" s="2">
        <v>1</v>
      </c>
      <c r="G144" s="2">
        <v>0</v>
      </c>
      <c r="H144" s="2">
        <v>133</v>
      </c>
      <c r="I144" s="2">
        <v>1</v>
      </c>
      <c r="J144" s="2">
        <v>4</v>
      </c>
      <c r="K144" s="2">
        <v>0</v>
      </c>
      <c r="L144" s="2">
        <v>2</v>
      </c>
      <c r="M144" s="2">
        <v>3</v>
      </c>
      <c r="N144" s="2">
        <v>0</v>
      </c>
    </row>
    <row r="145" spans="1:14" customFormat="1" x14ac:dyDescent="0.25">
      <c r="A145" s="2">
        <v>64</v>
      </c>
      <c r="B145" s="2">
        <v>1</v>
      </c>
      <c r="C145" s="2">
        <v>0</v>
      </c>
      <c r="D145" s="2">
        <v>120</v>
      </c>
      <c r="E145" s="2">
        <v>246</v>
      </c>
      <c r="F145" s="2">
        <v>0</v>
      </c>
      <c r="G145" s="2">
        <v>0</v>
      </c>
      <c r="H145" s="2">
        <v>96</v>
      </c>
      <c r="I145" s="2">
        <v>1</v>
      </c>
      <c r="J145" s="2">
        <v>2.2000000000000002</v>
      </c>
      <c r="K145" s="2">
        <v>0</v>
      </c>
      <c r="L145" s="2">
        <v>1</v>
      </c>
      <c r="M145" s="2">
        <v>2</v>
      </c>
      <c r="N145" s="2">
        <v>0</v>
      </c>
    </row>
    <row r="146" spans="1:14" customFormat="1" x14ac:dyDescent="0.25">
      <c r="A146" s="2">
        <v>56</v>
      </c>
      <c r="B146" s="2">
        <v>0</v>
      </c>
      <c r="C146" s="2">
        <v>0</v>
      </c>
      <c r="D146" s="2">
        <v>134</v>
      </c>
      <c r="E146" s="2">
        <v>409</v>
      </c>
      <c r="F146" s="2">
        <v>0</v>
      </c>
      <c r="G146" s="2">
        <v>0</v>
      </c>
      <c r="H146" s="2">
        <v>150</v>
      </c>
      <c r="I146" s="2">
        <v>1</v>
      </c>
      <c r="J146" s="2">
        <v>1.9</v>
      </c>
      <c r="K146" s="2">
        <v>1</v>
      </c>
      <c r="L146" s="2">
        <v>2</v>
      </c>
      <c r="M146" s="2">
        <v>3</v>
      </c>
      <c r="N146" s="2">
        <v>0</v>
      </c>
    </row>
    <row r="147" spans="1:14" customFormat="1" x14ac:dyDescent="0.25">
      <c r="A147" s="2">
        <v>64</v>
      </c>
      <c r="B147" s="2">
        <v>1</v>
      </c>
      <c r="C147" s="2">
        <v>3</v>
      </c>
      <c r="D147" s="2">
        <v>110</v>
      </c>
      <c r="E147" s="2">
        <v>211</v>
      </c>
      <c r="F147" s="2">
        <v>0</v>
      </c>
      <c r="G147" s="2">
        <v>0</v>
      </c>
      <c r="H147" s="2">
        <v>144</v>
      </c>
      <c r="I147" s="2">
        <v>1</v>
      </c>
      <c r="J147" s="2">
        <v>1.8</v>
      </c>
      <c r="K147" s="2">
        <v>1</v>
      </c>
      <c r="L147" s="2">
        <v>0</v>
      </c>
      <c r="M147" s="2">
        <v>2</v>
      </c>
      <c r="N147" s="2">
        <v>1</v>
      </c>
    </row>
    <row r="148" spans="1:14" customFormat="1" x14ac:dyDescent="0.25">
      <c r="A148" s="2">
        <v>60</v>
      </c>
      <c r="B148" s="2">
        <v>1</v>
      </c>
      <c r="C148" s="2">
        <v>0</v>
      </c>
      <c r="D148" s="2">
        <v>140</v>
      </c>
      <c r="E148" s="2">
        <v>293</v>
      </c>
      <c r="F148" s="2">
        <v>0</v>
      </c>
      <c r="G148" s="2">
        <v>0</v>
      </c>
      <c r="H148" s="2">
        <v>170</v>
      </c>
      <c r="I148" s="2">
        <v>0</v>
      </c>
      <c r="J148" s="2">
        <v>1.2</v>
      </c>
      <c r="K148" s="2">
        <v>1</v>
      </c>
      <c r="L148" s="2">
        <v>2</v>
      </c>
      <c r="M148" s="2">
        <v>3</v>
      </c>
      <c r="N148" s="2">
        <v>0</v>
      </c>
    </row>
    <row r="149" spans="1:14" customFormat="1" x14ac:dyDescent="0.25">
      <c r="A149" s="2">
        <v>42</v>
      </c>
      <c r="B149" s="2">
        <v>1</v>
      </c>
      <c r="C149" s="2">
        <v>2</v>
      </c>
      <c r="D149" s="2">
        <v>130</v>
      </c>
      <c r="E149" s="2">
        <v>180</v>
      </c>
      <c r="F149" s="2">
        <v>0</v>
      </c>
      <c r="G149" s="2">
        <v>1</v>
      </c>
      <c r="H149" s="2">
        <v>150</v>
      </c>
      <c r="I149" s="2">
        <v>0</v>
      </c>
      <c r="J149" s="2">
        <v>0</v>
      </c>
      <c r="K149" s="2">
        <v>2</v>
      </c>
      <c r="L149" s="2">
        <v>0</v>
      </c>
      <c r="M149" s="2">
        <v>2</v>
      </c>
      <c r="N149" s="2">
        <v>1</v>
      </c>
    </row>
    <row r="150" spans="1:14" customFormat="1" x14ac:dyDescent="0.25">
      <c r="A150" s="2">
        <v>45</v>
      </c>
      <c r="B150" s="2">
        <v>1</v>
      </c>
      <c r="C150" s="2">
        <v>1</v>
      </c>
      <c r="D150" s="2">
        <v>128</v>
      </c>
      <c r="E150" s="2">
        <v>308</v>
      </c>
      <c r="F150" s="2">
        <v>0</v>
      </c>
      <c r="G150" s="2">
        <v>0</v>
      </c>
      <c r="H150" s="2">
        <v>170</v>
      </c>
      <c r="I150" s="2">
        <v>0</v>
      </c>
      <c r="J150" s="2">
        <v>0</v>
      </c>
      <c r="K150" s="2">
        <v>2</v>
      </c>
      <c r="L150" s="2">
        <v>0</v>
      </c>
      <c r="M150" s="2">
        <v>2</v>
      </c>
      <c r="N150" s="2">
        <v>1</v>
      </c>
    </row>
    <row r="151" spans="1:14" customFormat="1" x14ac:dyDescent="0.25">
      <c r="A151" s="2">
        <v>57</v>
      </c>
      <c r="B151" s="2">
        <v>1</v>
      </c>
      <c r="C151" s="2">
        <v>0</v>
      </c>
      <c r="D151" s="2">
        <v>165</v>
      </c>
      <c r="E151" s="2">
        <v>289</v>
      </c>
      <c r="F151" s="2">
        <v>1</v>
      </c>
      <c r="G151" s="2">
        <v>0</v>
      </c>
      <c r="H151" s="2">
        <v>124</v>
      </c>
      <c r="I151" s="2">
        <v>0</v>
      </c>
      <c r="J151" s="2">
        <v>1</v>
      </c>
      <c r="K151" s="2">
        <v>1</v>
      </c>
      <c r="L151" s="2">
        <v>3</v>
      </c>
      <c r="M151" s="2">
        <v>3</v>
      </c>
      <c r="N151" s="2">
        <v>0</v>
      </c>
    </row>
    <row r="152" spans="1:14" customFormat="1" x14ac:dyDescent="0.25">
      <c r="A152" s="2">
        <v>64</v>
      </c>
      <c r="B152" s="2">
        <v>1</v>
      </c>
      <c r="C152" s="2">
        <v>2</v>
      </c>
      <c r="D152" s="2">
        <v>125</v>
      </c>
      <c r="E152" s="2">
        <v>309</v>
      </c>
      <c r="F152" s="2">
        <v>0</v>
      </c>
      <c r="G152" s="2">
        <v>1</v>
      </c>
      <c r="H152" s="2">
        <v>131</v>
      </c>
      <c r="I152" s="2">
        <v>1</v>
      </c>
      <c r="J152" s="2">
        <v>1.8</v>
      </c>
      <c r="K152" s="2">
        <v>1</v>
      </c>
      <c r="L152" s="2">
        <v>0</v>
      </c>
      <c r="M152" s="2">
        <v>3</v>
      </c>
      <c r="N152" s="2">
        <v>0</v>
      </c>
    </row>
    <row r="153" spans="1:14" customFormat="1" x14ac:dyDescent="0.25">
      <c r="A153" s="2">
        <v>41</v>
      </c>
      <c r="B153" s="2">
        <v>1</v>
      </c>
      <c r="C153" s="2">
        <v>2</v>
      </c>
      <c r="D153" s="2">
        <v>112</v>
      </c>
      <c r="E153" s="2">
        <v>250</v>
      </c>
      <c r="F153" s="2">
        <v>0</v>
      </c>
      <c r="G153" s="2">
        <v>1</v>
      </c>
      <c r="H153" s="2">
        <v>179</v>
      </c>
      <c r="I153" s="2">
        <v>0</v>
      </c>
      <c r="J153" s="2">
        <v>0</v>
      </c>
      <c r="K153" s="2">
        <v>2</v>
      </c>
      <c r="L153" s="2">
        <v>0</v>
      </c>
      <c r="M153" s="2">
        <v>2</v>
      </c>
      <c r="N153" s="2">
        <v>1</v>
      </c>
    </row>
    <row r="154" spans="1:14" customFormat="1" x14ac:dyDescent="0.25">
      <c r="A154" s="2">
        <v>56</v>
      </c>
      <c r="B154" s="2">
        <v>1</v>
      </c>
      <c r="C154" s="2">
        <v>1</v>
      </c>
      <c r="D154" s="2">
        <v>130</v>
      </c>
      <c r="E154" s="2">
        <v>221</v>
      </c>
      <c r="F154" s="2">
        <v>0</v>
      </c>
      <c r="G154" s="2">
        <v>0</v>
      </c>
      <c r="H154" s="2">
        <v>163</v>
      </c>
      <c r="I154" s="2">
        <v>0</v>
      </c>
      <c r="J154" s="2">
        <v>0</v>
      </c>
      <c r="K154" s="2">
        <v>2</v>
      </c>
      <c r="L154" s="2">
        <v>0</v>
      </c>
      <c r="M154" s="2">
        <v>3</v>
      </c>
      <c r="N154" s="2">
        <v>1</v>
      </c>
    </row>
    <row r="155" spans="1:14" customFormat="1" x14ac:dyDescent="0.25">
      <c r="A155" s="2">
        <v>69</v>
      </c>
      <c r="B155" s="2">
        <v>1</v>
      </c>
      <c r="C155" s="2">
        <v>3</v>
      </c>
      <c r="D155" s="2">
        <v>160</v>
      </c>
      <c r="E155" s="2">
        <v>234</v>
      </c>
      <c r="F155" s="2">
        <v>1</v>
      </c>
      <c r="G155" s="2">
        <v>0</v>
      </c>
      <c r="H155" s="2">
        <v>131</v>
      </c>
      <c r="I155" s="2">
        <v>0</v>
      </c>
      <c r="J155" s="2">
        <v>0.1</v>
      </c>
      <c r="K155" s="2">
        <v>1</v>
      </c>
      <c r="L155" s="2">
        <v>1</v>
      </c>
      <c r="M155" s="2">
        <v>2</v>
      </c>
      <c r="N155" s="2">
        <v>1</v>
      </c>
    </row>
    <row r="156" spans="1:14" customFormat="1" x14ac:dyDescent="0.25">
      <c r="A156" s="2">
        <v>67</v>
      </c>
      <c r="B156" s="2">
        <v>1</v>
      </c>
      <c r="C156" s="2">
        <v>0</v>
      </c>
      <c r="D156" s="2">
        <v>160</v>
      </c>
      <c r="E156" s="2">
        <v>286</v>
      </c>
      <c r="F156" s="2">
        <v>0</v>
      </c>
      <c r="G156" s="2">
        <v>0</v>
      </c>
      <c r="H156" s="2">
        <v>108</v>
      </c>
      <c r="I156" s="2">
        <v>1</v>
      </c>
      <c r="J156" s="2">
        <v>1.5</v>
      </c>
      <c r="K156" s="2">
        <v>1</v>
      </c>
      <c r="L156" s="2">
        <v>3</v>
      </c>
      <c r="M156" s="2">
        <v>2</v>
      </c>
      <c r="N156" s="2">
        <v>0</v>
      </c>
    </row>
    <row r="157" spans="1:14" customFormat="1" x14ac:dyDescent="0.25">
      <c r="A157" s="2">
        <v>58</v>
      </c>
      <c r="B157" s="2">
        <v>1</v>
      </c>
      <c r="C157" s="2">
        <v>0</v>
      </c>
      <c r="D157" s="2">
        <v>100</v>
      </c>
      <c r="E157" s="2">
        <v>234</v>
      </c>
      <c r="F157" s="2">
        <v>0</v>
      </c>
      <c r="G157" s="2">
        <v>1</v>
      </c>
      <c r="H157" s="2">
        <v>156</v>
      </c>
      <c r="I157" s="2">
        <v>0</v>
      </c>
      <c r="J157" s="2">
        <v>0.1</v>
      </c>
      <c r="K157" s="2">
        <v>2</v>
      </c>
      <c r="L157" s="2">
        <v>1</v>
      </c>
      <c r="M157" s="2">
        <v>3</v>
      </c>
      <c r="N157" s="2">
        <v>0</v>
      </c>
    </row>
    <row r="158" spans="1:14" customFormat="1" x14ac:dyDescent="0.25">
      <c r="A158" s="2">
        <v>45</v>
      </c>
      <c r="B158" s="2">
        <v>1</v>
      </c>
      <c r="C158" s="2">
        <v>0</v>
      </c>
      <c r="D158" s="2">
        <v>115</v>
      </c>
      <c r="E158" s="2">
        <v>260</v>
      </c>
      <c r="F158" s="2">
        <v>0</v>
      </c>
      <c r="G158" s="2">
        <v>0</v>
      </c>
      <c r="H158" s="2">
        <v>185</v>
      </c>
      <c r="I158" s="2">
        <v>0</v>
      </c>
      <c r="J158" s="2">
        <v>0</v>
      </c>
      <c r="K158" s="2">
        <v>2</v>
      </c>
      <c r="L158" s="2">
        <v>0</v>
      </c>
      <c r="M158" s="2">
        <v>2</v>
      </c>
      <c r="N158" s="2">
        <v>1</v>
      </c>
    </row>
    <row r="159" spans="1:14" customFormat="1" x14ac:dyDescent="0.25">
      <c r="A159" s="2">
        <v>60</v>
      </c>
      <c r="B159" s="2">
        <v>0</v>
      </c>
      <c r="C159" s="2">
        <v>2</v>
      </c>
      <c r="D159" s="2">
        <v>102</v>
      </c>
      <c r="E159" s="2">
        <v>318</v>
      </c>
      <c r="F159" s="2">
        <v>0</v>
      </c>
      <c r="G159" s="2">
        <v>1</v>
      </c>
      <c r="H159" s="2">
        <v>160</v>
      </c>
      <c r="I159" s="2">
        <v>0</v>
      </c>
      <c r="J159" s="2">
        <v>0</v>
      </c>
      <c r="K159" s="2">
        <v>2</v>
      </c>
      <c r="L159" s="2">
        <v>1</v>
      </c>
      <c r="M159" s="2">
        <v>2</v>
      </c>
      <c r="N159" s="2">
        <v>1</v>
      </c>
    </row>
    <row r="160" spans="1:14" customFormat="1" x14ac:dyDescent="0.25">
      <c r="A160" s="2">
        <v>50</v>
      </c>
      <c r="B160" s="2">
        <v>1</v>
      </c>
      <c r="C160" s="2">
        <v>0</v>
      </c>
      <c r="D160" s="2">
        <v>144</v>
      </c>
      <c r="E160" s="2">
        <v>200</v>
      </c>
      <c r="F160" s="2">
        <v>0</v>
      </c>
      <c r="G160" s="2">
        <v>0</v>
      </c>
      <c r="H160" s="2">
        <v>126</v>
      </c>
      <c r="I160" s="2">
        <v>1</v>
      </c>
      <c r="J160" s="2">
        <v>0.9</v>
      </c>
      <c r="K160" s="2">
        <v>1</v>
      </c>
      <c r="L160" s="2">
        <v>0</v>
      </c>
      <c r="M160" s="2">
        <v>3</v>
      </c>
      <c r="N160" s="2">
        <v>0</v>
      </c>
    </row>
    <row r="161" spans="1:14" customFormat="1" x14ac:dyDescent="0.25">
      <c r="A161" s="2">
        <v>64</v>
      </c>
      <c r="B161" s="2">
        <v>1</v>
      </c>
      <c r="C161" s="2">
        <v>3</v>
      </c>
      <c r="D161" s="2">
        <v>170</v>
      </c>
      <c r="E161" s="2">
        <v>227</v>
      </c>
      <c r="F161" s="2">
        <v>0</v>
      </c>
      <c r="G161" s="2">
        <v>0</v>
      </c>
      <c r="H161" s="2">
        <v>155</v>
      </c>
      <c r="I161" s="2">
        <v>0</v>
      </c>
      <c r="J161" s="2">
        <v>0.6</v>
      </c>
      <c r="K161" s="2">
        <v>1</v>
      </c>
      <c r="L161" s="2">
        <v>0</v>
      </c>
      <c r="M161" s="2">
        <v>3</v>
      </c>
      <c r="N161" s="2">
        <v>1</v>
      </c>
    </row>
    <row r="162" spans="1:14" customFormat="1" x14ac:dyDescent="0.25">
      <c r="A162" s="2">
        <v>42</v>
      </c>
      <c r="B162" s="2">
        <v>1</v>
      </c>
      <c r="C162" s="2">
        <v>3</v>
      </c>
      <c r="D162" s="2">
        <v>148</v>
      </c>
      <c r="E162" s="2">
        <v>244</v>
      </c>
      <c r="F162" s="2">
        <v>0</v>
      </c>
      <c r="G162" s="2">
        <v>0</v>
      </c>
      <c r="H162" s="2">
        <v>178</v>
      </c>
      <c r="I162" s="2">
        <v>0</v>
      </c>
      <c r="J162" s="2">
        <v>0.8</v>
      </c>
      <c r="K162" s="2">
        <v>2</v>
      </c>
      <c r="L162" s="2">
        <v>2</v>
      </c>
      <c r="M162" s="2">
        <v>2</v>
      </c>
      <c r="N162" s="2">
        <v>1</v>
      </c>
    </row>
    <row r="163" spans="1:14" customFormat="1" x14ac:dyDescent="0.25">
      <c r="A163" s="2">
        <v>42</v>
      </c>
      <c r="B163" s="2">
        <v>1</v>
      </c>
      <c r="C163" s="2">
        <v>2</v>
      </c>
      <c r="D163" s="2">
        <v>120</v>
      </c>
      <c r="E163" s="2">
        <v>240</v>
      </c>
      <c r="F163" s="2">
        <v>1</v>
      </c>
      <c r="G163" s="2">
        <v>1</v>
      </c>
      <c r="H163" s="2">
        <v>194</v>
      </c>
      <c r="I163" s="2">
        <v>0</v>
      </c>
      <c r="J163" s="2">
        <v>0.8</v>
      </c>
      <c r="K163" s="2">
        <v>0</v>
      </c>
      <c r="L163" s="2">
        <v>0</v>
      </c>
      <c r="M163" s="2">
        <v>3</v>
      </c>
      <c r="N163" s="2">
        <v>1</v>
      </c>
    </row>
    <row r="164" spans="1:14" customFormat="1" x14ac:dyDescent="0.25">
      <c r="A164" s="2">
        <v>50</v>
      </c>
      <c r="B164" s="2">
        <v>1</v>
      </c>
      <c r="C164" s="2">
        <v>0</v>
      </c>
      <c r="D164" s="2">
        <v>150</v>
      </c>
      <c r="E164" s="2">
        <v>243</v>
      </c>
      <c r="F164" s="2">
        <v>0</v>
      </c>
      <c r="G164" s="2">
        <v>0</v>
      </c>
      <c r="H164" s="2">
        <v>128</v>
      </c>
      <c r="I164" s="2">
        <v>0</v>
      </c>
      <c r="J164" s="2">
        <v>2.6</v>
      </c>
      <c r="K164" s="2">
        <v>1</v>
      </c>
      <c r="L164" s="2">
        <v>0</v>
      </c>
      <c r="M164" s="2">
        <v>3</v>
      </c>
      <c r="N164" s="2">
        <v>0</v>
      </c>
    </row>
    <row r="165" spans="1:14" customFormat="1" x14ac:dyDescent="0.25">
      <c r="A165" s="2">
        <v>49</v>
      </c>
      <c r="B165" s="2">
        <v>1</v>
      </c>
      <c r="C165" s="2">
        <v>1</v>
      </c>
      <c r="D165" s="2">
        <v>130</v>
      </c>
      <c r="E165" s="2">
        <v>266</v>
      </c>
      <c r="F165" s="2">
        <v>0</v>
      </c>
      <c r="G165" s="2">
        <v>1</v>
      </c>
      <c r="H165" s="2">
        <v>171</v>
      </c>
      <c r="I165" s="2">
        <v>0</v>
      </c>
      <c r="J165" s="2">
        <v>0.6</v>
      </c>
      <c r="K165" s="2">
        <v>2</v>
      </c>
      <c r="L165" s="2">
        <v>0</v>
      </c>
      <c r="M165" s="2">
        <v>2</v>
      </c>
      <c r="N165" s="2">
        <v>1</v>
      </c>
    </row>
    <row r="166" spans="1:14" customFormat="1" x14ac:dyDescent="0.25">
      <c r="A166" s="2">
        <v>65</v>
      </c>
      <c r="B166" s="2">
        <v>1</v>
      </c>
      <c r="C166" s="2">
        <v>0</v>
      </c>
      <c r="D166" s="2">
        <v>135</v>
      </c>
      <c r="E166" s="2">
        <v>254</v>
      </c>
      <c r="F166" s="2">
        <v>0</v>
      </c>
      <c r="G166" s="2">
        <v>0</v>
      </c>
      <c r="H166" s="2">
        <v>127</v>
      </c>
      <c r="I166" s="2">
        <v>0</v>
      </c>
      <c r="J166" s="2">
        <v>2.8</v>
      </c>
      <c r="K166" s="2">
        <v>1</v>
      </c>
      <c r="L166" s="2">
        <v>1</v>
      </c>
      <c r="M166" s="2">
        <v>3</v>
      </c>
      <c r="N166" s="2">
        <v>0</v>
      </c>
    </row>
    <row r="167" spans="1:14" customFormat="1" x14ac:dyDescent="0.25">
      <c r="A167" s="2">
        <v>46</v>
      </c>
      <c r="B167" s="2">
        <v>1</v>
      </c>
      <c r="C167" s="2">
        <v>0</v>
      </c>
      <c r="D167" s="2">
        <v>140</v>
      </c>
      <c r="E167" s="2">
        <v>311</v>
      </c>
      <c r="F167" s="2">
        <v>0</v>
      </c>
      <c r="G167" s="2">
        <v>1</v>
      </c>
      <c r="H167" s="2">
        <v>120</v>
      </c>
      <c r="I167" s="2">
        <v>1</v>
      </c>
      <c r="J167" s="2">
        <v>1.8</v>
      </c>
      <c r="K167" s="2">
        <v>1</v>
      </c>
      <c r="L167" s="2">
        <v>2</v>
      </c>
      <c r="M167" s="2">
        <v>3</v>
      </c>
      <c r="N167" s="2">
        <v>0</v>
      </c>
    </row>
    <row r="168" spans="1:14" customFormat="1" x14ac:dyDescent="0.25">
      <c r="A168" s="2">
        <v>57</v>
      </c>
      <c r="B168" s="2">
        <v>0</v>
      </c>
      <c r="C168" s="2">
        <v>1</v>
      </c>
      <c r="D168" s="2">
        <v>130</v>
      </c>
      <c r="E168" s="2">
        <v>236</v>
      </c>
      <c r="F168" s="2">
        <v>0</v>
      </c>
      <c r="G168" s="2">
        <v>0</v>
      </c>
      <c r="H168" s="2">
        <v>174</v>
      </c>
      <c r="I168" s="2">
        <v>0</v>
      </c>
      <c r="J168" s="2">
        <v>0</v>
      </c>
      <c r="K168" s="2">
        <v>1</v>
      </c>
      <c r="L168" s="2">
        <v>1</v>
      </c>
      <c r="M168" s="2">
        <v>2</v>
      </c>
      <c r="N168" s="2">
        <v>0</v>
      </c>
    </row>
    <row r="169" spans="1:14" customFormat="1" x14ac:dyDescent="0.25">
      <c r="A169" s="2">
        <v>51</v>
      </c>
      <c r="B169" s="2">
        <v>1</v>
      </c>
      <c r="C169" s="2">
        <v>0</v>
      </c>
      <c r="D169" s="2">
        <v>140</v>
      </c>
      <c r="E169" s="2">
        <v>261</v>
      </c>
      <c r="F169" s="2">
        <v>0</v>
      </c>
      <c r="G169" s="2">
        <v>0</v>
      </c>
      <c r="H169" s="2">
        <v>186</v>
      </c>
      <c r="I169" s="2">
        <v>1</v>
      </c>
      <c r="J169" s="2">
        <v>0</v>
      </c>
      <c r="K169" s="2">
        <v>2</v>
      </c>
      <c r="L169" s="2">
        <v>0</v>
      </c>
      <c r="M169" s="2">
        <v>2</v>
      </c>
      <c r="N169" s="2">
        <v>1</v>
      </c>
    </row>
    <row r="170" spans="1:14" customFormat="1" x14ac:dyDescent="0.25">
      <c r="A170" s="2">
        <v>54</v>
      </c>
      <c r="B170" s="2">
        <v>1</v>
      </c>
      <c r="C170" s="2">
        <v>2</v>
      </c>
      <c r="D170" s="2">
        <v>150</v>
      </c>
      <c r="E170" s="2">
        <v>232</v>
      </c>
      <c r="F170" s="2">
        <v>0</v>
      </c>
      <c r="G170" s="2">
        <v>0</v>
      </c>
      <c r="H170" s="2">
        <v>165</v>
      </c>
      <c r="I170" s="2">
        <v>0</v>
      </c>
      <c r="J170" s="2">
        <v>1.6</v>
      </c>
      <c r="K170" s="2">
        <v>2</v>
      </c>
      <c r="L170" s="2">
        <v>0</v>
      </c>
      <c r="M170" s="2">
        <v>3</v>
      </c>
      <c r="N170" s="2">
        <v>1</v>
      </c>
    </row>
    <row r="171" spans="1:14" customFormat="1" x14ac:dyDescent="0.25">
      <c r="A171" s="2">
        <v>44</v>
      </c>
      <c r="B171" s="2">
        <v>0</v>
      </c>
      <c r="C171" s="2">
        <v>2</v>
      </c>
      <c r="D171" s="2">
        <v>118</v>
      </c>
      <c r="E171" s="2">
        <v>242</v>
      </c>
      <c r="F171" s="2">
        <v>0</v>
      </c>
      <c r="G171" s="2">
        <v>1</v>
      </c>
      <c r="H171" s="2">
        <v>149</v>
      </c>
      <c r="I171" s="2">
        <v>0</v>
      </c>
      <c r="J171" s="2">
        <v>0.3</v>
      </c>
      <c r="K171" s="2">
        <v>1</v>
      </c>
      <c r="L171" s="2">
        <v>1</v>
      </c>
      <c r="M171" s="2">
        <v>2</v>
      </c>
      <c r="N171" s="2">
        <v>1</v>
      </c>
    </row>
    <row r="172" spans="1:14" customFormat="1" x14ac:dyDescent="0.25">
      <c r="A172" s="2">
        <v>52</v>
      </c>
      <c r="B172" s="2">
        <v>1</v>
      </c>
      <c r="C172" s="2">
        <v>1</v>
      </c>
      <c r="D172" s="2">
        <v>128</v>
      </c>
      <c r="E172" s="2">
        <v>205</v>
      </c>
      <c r="F172" s="2">
        <v>1</v>
      </c>
      <c r="G172" s="2">
        <v>1</v>
      </c>
      <c r="H172" s="2">
        <v>184</v>
      </c>
      <c r="I172" s="2">
        <v>0</v>
      </c>
      <c r="J172" s="2">
        <v>0</v>
      </c>
      <c r="K172" s="2">
        <v>2</v>
      </c>
      <c r="L172" s="2">
        <v>0</v>
      </c>
      <c r="M172" s="2">
        <v>2</v>
      </c>
      <c r="N172" s="2">
        <v>1</v>
      </c>
    </row>
    <row r="173" spans="1:14" customFormat="1" x14ac:dyDescent="0.25">
      <c r="A173" s="2">
        <v>56</v>
      </c>
      <c r="B173" s="2">
        <v>1</v>
      </c>
      <c r="C173" s="2">
        <v>1</v>
      </c>
      <c r="D173" s="2">
        <v>120</v>
      </c>
      <c r="E173" s="2">
        <v>236</v>
      </c>
      <c r="F173" s="2">
        <v>0</v>
      </c>
      <c r="G173" s="2">
        <v>1</v>
      </c>
      <c r="H173" s="2">
        <v>178</v>
      </c>
      <c r="I173" s="2">
        <v>0</v>
      </c>
      <c r="J173" s="2">
        <v>0.8</v>
      </c>
      <c r="K173" s="2">
        <v>2</v>
      </c>
      <c r="L173" s="2">
        <v>0</v>
      </c>
      <c r="M173" s="2">
        <v>2</v>
      </c>
      <c r="N173" s="2">
        <v>1</v>
      </c>
    </row>
    <row r="174" spans="1:14" customFormat="1" x14ac:dyDescent="0.25">
      <c r="A174" s="2">
        <v>60</v>
      </c>
      <c r="B174" s="2">
        <v>1</v>
      </c>
      <c r="C174" s="2">
        <v>0</v>
      </c>
      <c r="D174" s="2">
        <v>125</v>
      </c>
      <c r="E174" s="2">
        <v>258</v>
      </c>
      <c r="F174" s="2">
        <v>0</v>
      </c>
      <c r="G174" s="2">
        <v>0</v>
      </c>
      <c r="H174" s="2">
        <v>141</v>
      </c>
      <c r="I174" s="2">
        <v>1</v>
      </c>
      <c r="J174" s="2">
        <v>2.8</v>
      </c>
      <c r="K174" s="2">
        <v>1</v>
      </c>
      <c r="L174" s="2">
        <v>1</v>
      </c>
      <c r="M174" s="2">
        <v>3</v>
      </c>
      <c r="N174" s="2">
        <v>0</v>
      </c>
    </row>
    <row r="175" spans="1:14" customFormat="1" x14ac:dyDescent="0.25">
      <c r="A175" s="2">
        <v>41</v>
      </c>
      <c r="B175" s="2">
        <v>0</v>
      </c>
      <c r="C175" s="2">
        <v>1</v>
      </c>
      <c r="D175" s="2">
        <v>126</v>
      </c>
      <c r="E175" s="2">
        <v>306</v>
      </c>
      <c r="F175" s="2">
        <v>0</v>
      </c>
      <c r="G175" s="2">
        <v>1</v>
      </c>
      <c r="H175" s="2">
        <v>163</v>
      </c>
      <c r="I175" s="2">
        <v>0</v>
      </c>
      <c r="J175" s="2">
        <v>0</v>
      </c>
      <c r="K175" s="2">
        <v>2</v>
      </c>
      <c r="L175" s="2">
        <v>0</v>
      </c>
      <c r="M175" s="2">
        <v>2</v>
      </c>
      <c r="N175" s="2">
        <v>1</v>
      </c>
    </row>
    <row r="176" spans="1:14" customFormat="1" x14ac:dyDescent="0.25">
      <c r="A176" s="2">
        <v>49</v>
      </c>
      <c r="B176" s="2">
        <v>0</v>
      </c>
      <c r="C176" s="2">
        <v>0</v>
      </c>
      <c r="D176" s="2">
        <v>130</v>
      </c>
      <c r="E176" s="2">
        <v>269</v>
      </c>
      <c r="F176" s="2">
        <v>0</v>
      </c>
      <c r="G176" s="2">
        <v>1</v>
      </c>
      <c r="H176" s="2">
        <v>163</v>
      </c>
      <c r="I176" s="2">
        <v>0</v>
      </c>
      <c r="J176" s="2">
        <v>0</v>
      </c>
      <c r="K176" s="2">
        <v>2</v>
      </c>
      <c r="L176" s="2">
        <v>0</v>
      </c>
      <c r="M176" s="2">
        <v>2</v>
      </c>
      <c r="N176" s="2">
        <v>1</v>
      </c>
    </row>
    <row r="177" spans="1:14" customFormat="1" x14ac:dyDescent="0.25">
      <c r="A177" s="2">
        <v>57</v>
      </c>
      <c r="B177" s="2">
        <v>1</v>
      </c>
      <c r="C177" s="2">
        <v>1</v>
      </c>
      <c r="D177" s="2">
        <v>124</v>
      </c>
      <c r="E177" s="2">
        <v>261</v>
      </c>
      <c r="F177" s="2">
        <v>0</v>
      </c>
      <c r="G177" s="2">
        <v>1</v>
      </c>
      <c r="H177" s="2">
        <v>141</v>
      </c>
      <c r="I177" s="2">
        <v>0</v>
      </c>
      <c r="J177" s="2">
        <v>0.3</v>
      </c>
      <c r="K177" s="2">
        <v>2</v>
      </c>
      <c r="L177" s="2">
        <v>0</v>
      </c>
      <c r="M177" s="2">
        <v>3</v>
      </c>
      <c r="N177" s="2">
        <v>0</v>
      </c>
    </row>
    <row r="178" spans="1:14" customFormat="1" x14ac:dyDescent="0.25">
      <c r="A178" s="2">
        <v>62</v>
      </c>
      <c r="B178" s="2">
        <v>0</v>
      </c>
      <c r="C178" s="2">
        <v>0</v>
      </c>
      <c r="D178" s="2">
        <v>150</v>
      </c>
      <c r="E178" s="2">
        <v>244</v>
      </c>
      <c r="F178" s="2">
        <v>0</v>
      </c>
      <c r="G178" s="2">
        <v>1</v>
      </c>
      <c r="H178" s="2">
        <v>154</v>
      </c>
      <c r="I178" s="2">
        <v>1</v>
      </c>
      <c r="J178" s="2">
        <v>1.4</v>
      </c>
      <c r="K178" s="2">
        <v>1</v>
      </c>
      <c r="L178" s="2">
        <v>0</v>
      </c>
      <c r="M178" s="2">
        <v>2</v>
      </c>
      <c r="N178" s="2">
        <v>0</v>
      </c>
    </row>
    <row r="179" spans="1:14" customFormat="1" x14ac:dyDescent="0.25">
      <c r="A179" s="2">
        <v>54</v>
      </c>
      <c r="B179" s="2">
        <v>0</v>
      </c>
      <c r="C179" s="2">
        <v>1</v>
      </c>
      <c r="D179" s="2">
        <v>132</v>
      </c>
      <c r="E179" s="2">
        <v>288</v>
      </c>
      <c r="F179" s="2">
        <v>1</v>
      </c>
      <c r="G179" s="2">
        <v>0</v>
      </c>
      <c r="H179" s="2">
        <v>159</v>
      </c>
      <c r="I179" s="2">
        <v>1</v>
      </c>
      <c r="J179" s="2">
        <v>0</v>
      </c>
      <c r="K179" s="2">
        <v>2</v>
      </c>
      <c r="L179" s="2">
        <v>1</v>
      </c>
      <c r="M179" s="2">
        <v>2</v>
      </c>
      <c r="N179" s="2">
        <v>1</v>
      </c>
    </row>
    <row r="180" spans="1:14" customFormat="1" x14ac:dyDescent="0.25">
      <c r="A180" s="2">
        <v>51</v>
      </c>
      <c r="B180" s="2">
        <v>1</v>
      </c>
      <c r="C180" s="2">
        <v>2</v>
      </c>
      <c r="D180" s="2">
        <v>125</v>
      </c>
      <c r="E180" s="2">
        <v>245</v>
      </c>
      <c r="F180" s="2">
        <v>1</v>
      </c>
      <c r="G180" s="2">
        <v>0</v>
      </c>
      <c r="H180" s="2">
        <v>166</v>
      </c>
      <c r="I180" s="2">
        <v>0</v>
      </c>
      <c r="J180" s="2">
        <v>2.4</v>
      </c>
      <c r="K180" s="2">
        <v>1</v>
      </c>
      <c r="L180" s="2">
        <v>0</v>
      </c>
      <c r="M180" s="2">
        <v>2</v>
      </c>
      <c r="N180" s="2">
        <v>1</v>
      </c>
    </row>
    <row r="181" spans="1:14" customFormat="1" x14ac:dyDescent="0.25">
      <c r="A181" s="2">
        <v>44</v>
      </c>
      <c r="B181" s="2">
        <v>1</v>
      </c>
      <c r="C181" s="2">
        <v>1</v>
      </c>
      <c r="D181" s="2">
        <v>130</v>
      </c>
      <c r="E181" s="2">
        <v>219</v>
      </c>
      <c r="F181" s="2">
        <v>0</v>
      </c>
      <c r="G181" s="2">
        <v>0</v>
      </c>
      <c r="H181" s="2">
        <v>188</v>
      </c>
      <c r="I181" s="2">
        <v>0</v>
      </c>
      <c r="J181" s="2">
        <v>0</v>
      </c>
      <c r="K181" s="2">
        <v>2</v>
      </c>
      <c r="L181" s="2">
        <v>0</v>
      </c>
      <c r="M181" s="2">
        <v>2</v>
      </c>
      <c r="N181" s="2">
        <v>1</v>
      </c>
    </row>
    <row r="182" spans="1:14" customFormat="1" x14ac:dyDescent="0.25">
      <c r="A182" s="2">
        <v>39</v>
      </c>
      <c r="B182" s="2">
        <v>0</v>
      </c>
      <c r="C182" s="2">
        <v>2</v>
      </c>
      <c r="D182" s="2">
        <v>138</v>
      </c>
      <c r="E182" s="2">
        <v>220</v>
      </c>
      <c r="F182" s="2">
        <v>0</v>
      </c>
      <c r="G182" s="2">
        <v>1</v>
      </c>
      <c r="H182" s="2">
        <v>152</v>
      </c>
      <c r="I182" s="2">
        <v>0</v>
      </c>
      <c r="J182" s="2">
        <v>0</v>
      </c>
      <c r="K182" s="2">
        <v>1</v>
      </c>
      <c r="L182" s="2">
        <v>0</v>
      </c>
      <c r="M182" s="2">
        <v>2</v>
      </c>
      <c r="N182" s="2">
        <v>1</v>
      </c>
    </row>
    <row r="183" spans="1:14" customFormat="1" x14ac:dyDescent="0.25">
      <c r="A183" s="2">
        <v>55</v>
      </c>
      <c r="B183" s="2">
        <v>1</v>
      </c>
      <c r="C183" s="2">
        <v>0</v>
      </c>
      <c r="D183" s="2">
        <v>132</v>
      </c>
      <c r="E183" s="2">
        <v>353</v>
      </c>
      <c r="F183" s="2">
        <v>0</v>
      </c>
      <c r="G183" s="2">
        <v>1</v>
      </c>
      <c r="H183" s="2">
        <v>132</v>
      </c>
      <c r="I183" s="2">
        <v>1</v>
      </c>
      <c r="J183" s="2">
        <v>1.2</v>
      </c>
      <c r="K183" s="2">
        <v>1</v>
      </c>
      <c r="L183" s="2">
        <v>1</v>
      </c>
      <c r="M183" s="2">
        <v>3</v>
      </c>
      <c r="N183" s="2">
        <v>0</v>
      </c>
    </row>
    <row r="184" spans="1:14" customFormat="1" x14ac:dyDescent="0.25">
      <c r="A184" s="2">
        <v>35</v>
      </c>
      <c r="B184" s="2">
        <v>1</v>
      </c>
      <c r="C184" s="2">
        <v>0</v>
      </c>
      <c r="D184" s="2">
        <v>120</v>
      </c>
      <c r="E184" s="2">
        <v>198</v>
      </c>
      <c r="F184" s="2">
        <v>0</v>
      </c>
      <c r="G184" s="2">
        <v>1</v>
      </c>
      <c r="H184" s="2">
        <v>130</v>
      </c>
      <c r="I184" s="2">
        <v>1</v>
      </c>
      <c r="J184" s="2">
        <v>1.6</v>
      </c>
      <c r="K184" s="2">
        <v>1</v>
      </c>
      <c r="L184" s="2">
        <v>0</v>
      </c>
      <c r="M184" s="2">
        <v>3</v>
      </c>
      <c r="N184" s="2">
        <v>0</v>
      </c>
    </row>
    <row r="185" spans="1:14" customFormat="1" x14ac:dyDescent="0.25">
      <c r="A185" s="2">
        <v>62</v>
      </c>
      <c r="B185" s="2">
        <v>0</v>
      </c>
      <c r="C185" s="2">
        <v>0</v>
      </c>
      <c r="D185" s="2">
        <v>140</v>
      </c>
      <c r="E185" s="2">
        <v>394</v>
      </c>
      <c r="F185" s="2">
        <v>0</v>
      </c>
      <c r="G185" s="2">
        <v>0</v>
      </c>
      <c r="H185" s="2">
        <v>157</v>
      </c>
      <c r="I185" s="2">
        <v>0</v>
      </c>
      <c r="J185" s="2">
        <v>1.2</v>
      </c>
      <c r="K185" s="2">
        <v>1</v>
      </c>
      <c r="L185" s="2">
        <v>0</v>
      </c>
      <c r="M185" s="2">
        <v>2</v>
      </c>
      <c r="N185" s="2">
        <v>1</v>
      </c>
    </row>
    <row r="186" spans="1:14" customFormat="1" x14ac:dyDescent="0.25">
      <c r="A186" s="2">
        <v>35</v>
      </c>
      <c r="B186" s="2">
        <v>0</v>
      </c>
      <c r="C186" s="2">
        <v>0</v>
      </c>
      <c r="D186" s="2">
        <v>138</v>
      </c>
      <c r="E186" s="2">
        <v>183</v>
      </c>
      <c r="F186" s="2">
        <v>0</v>
      </c>
      <c r="G186" s="2">
        <v>1</v>
      </c>
      <c r="H186" s="2">
        <v>182</v>
      </c>
      <c r="I186" s="2">
        <v>0</v>
      </c>
      <c r="J186" s="2">
        <v>1.4</v>
      </c>
      <c r="K186" s="2">
        <v>2</v>
      </c>
      <c r="L186" s="2">
        <v>0</v>
      </c>
      <c r="M186" s="2">
        <v>2</v>
      </c>
      <c r="N186" s="2">
        <v>1</v>
      </c>
    </row>
    <row r="187" spans="1:14" customFormat="1" x14ac:dyDescent="0.25">
      <c r="A187" s="2">
        <v>38</v>
      </c>
      <c r="B187" s="2">
        <v>1</v>
      </c>
      <c r="C187" s="2">
        <v>3</v>
      </c>
      <c r="D187" s="2">
        <v>120</v>
      </c>
      <c r="E187" s="2">
        <v>231</v>
      </c>
      <c r="F187" s="2">
        <v>0</v>
      </c>
      <c r="G187" s="2">
        <v>1</v>
      </c>
      <c r="H187" s="2">
        <v>182</v>
      </c>
      <c r="I187" s="2">
        <v>1</v>
      </c>
      <c r="J187" s="2">
        <v>3.8</v>
      </c>
      <c r="K187" s="2">
        <v>1</v>
      </c>
      <c r="L187" s="2">
        <v>0</v>
      </c>
      <c r="M187" s="2">
        <v>3</v>
      </c>
      <c r="N187" s="2">
        <v>0</v>
      </c>
    </row>
    <row r="188" spans="1:14" customFormat="1" x14ac:dyDescent="0.25">
      <c r="A188" s="2">
        <v>44</v>
      </c>
      <c r="B188" s="2">
        <v>1</v>
      </c>
      <c r="C188" s="2">
        <v>2</v>
      </c>
      <c r="D188" s="2">
        <v>120</v>
      </c>
      <c r="E188" s="2">
        <v>226</v>
      </c>
      <c r="F188" s="2">
        <v>0</v>
      </c>
      <c r="G188" s="2">
        <v>1</v>
      </c>
      <c r="H188" s="2">
        <v>169</v>
      </c>
      <c r="I188" s="2">
        <v>0</v>
      </c>
      <c r="J188" s="2">
        <v>0</v>
      </c>
      <c r="K188" s="2">
        <v>2</v>
      </c>
      <c r="L188" s="2">
        <v>0</v>
      </c>
      <c r="M188" s="2">
        <v>2</v>
      </c>
      <c r="N188" s="2">
        <v>1</v>
      </c>
    </row>
    <row r="189" spans="1:14" customFormat="1" x14ac:dyDescent="0.25">
      <c r="A189" s="2">
        <v>48</v>
      </c>
      <c r="B189" s="2">
        <v>1</v>
      </c>
      <c r="C189" s="2">
        <v>0</v>
      </c>
      <c r="D189" s="2">
        <v>122</v>
      </c>
      <c r="E189" s="2">
        <v>222</v>
      </c>
      <c r="F189" s="2">
        <v>0</v>
      </c>
      <c r="G189" s="2">
        <v>0</v>
      </c>
      <c r="H189" s="2">
        <v>186</v>
      </c>
      <c r="I189" s="2">
        <v>0</v>
      </c>
      <c r="J189" s="2">
        <v>0</v>
      </c>
      <c r="K189" s="2">
        <v>2</v>
      </c>
      <c r="L189" s="2">
        <v>0</v>
      </c>
      <c r="M189" s="2">
        <v>2</v>
      </c>
      <c r="N189" s="2">
        <v>1</v>
      </c>
    </row>
    <row r="190" spans="1:14" customFormat="1" x14ac:dyDescent="0.25">
      <c r="A190" s="2">
        <v>67</v>
      </c>
      <c r="B190" s="2">
        <v>1</v>
      </c>
      <c r="C190" s="2">
        <v>0</v>
      </c>
      <c r="D190" s="2">
        <v>120</v>
      </c>
      <c r="E190" s="2">
        <v>237</v>
      </c>
      <c r="F190" s="2">
        <v>0</v>
      </c>
      <c r="G190" s="2">
        <v>1</v>
      </c>
      <c r="H190" s="2">
        <v>71</v>
      </c>
      <c r="I190" s="2">
        <v>0</v>
      </c>
      <c r="J190" s="2">
        <v>1</v>
      </c>
      <c r="K190" s="2">
        <v>1</v>
      </c>
      <c r="L190" s="2">
        <v>0</v>
      </c>
      <c r="M190" s="2">
        <v>2</v>
      </c>
      <c r="N190" s="2">
        <v>0</v>
      </c>
    </row>
    <row r="191" spans="1:14" customFormat="1" x14ac:dyDescent="0.25">
      <c r="A191" s="2">
        <v>58</v>
      </c>
      <c r="B191" s="2">
        <v>1</v>
      </c>
      <c r="C191" s="2">
        <v>2</v>
      </c>
      <c r="D191" s="2">
        <v>132</v>
      </c>
      <c r="E191" s="2">
        <v>224</v>
      </c>
      <c r="F191" s="2">
        <v>0</v>
      </c>
      <c r="G191" s="2">
        <v>0</v>
      </c>
      <c r="H191" s="2">
        <v>173</v>
      </c>
      <c r="I191" s="2">
        <v>0</v>
      </c>
      <c r="J191" s="2">
        <v>3.2</v>
      </c>
      <c r="K191" s="2">
        <v>2</v>
      </c>
      <c r="L191" s="2">
        <v>2</v>
      </c>
      <c r="M191" s="2">
        <v>3</v>
      </c>
      <c r="N191" s="2">
        <v>0</v>
      </c>
    </row>
    <row r="192" spans="1:14" customFormat="1" x14ac:dyDescent="0.25">
      <c r="A192" s="2">
        <v>71</v>
      </c>
      <c r="B192" s="2">
        <v>0</v>
      </c>
      <c r="C192" s="2">
        <v>2</v>
      </c>
      <c r="D192" s="2">
        <v>110</v>
      </c>
      <c r="E192" s="2">
        <v>265</v>
      </c>
      <c r="F192" s="2">
        <v>1</v>
      </c>
      <c r="G192" s="2">
        <v>0</v>
      </c>
      <c r="H192" s="2">
        <v>130</v>
      </c>
      <c r="I192" s="2">
        <v>0</v>
      </c>
      <c r="J192" s="2">
        <v>0</v>
      </c>
      <c r="K192" s="2">
        <v>2</v>
      </c>
      <c r="L192" s="2">
        <v>1</v>
      </c>
      <c r="M192" s="2">
        <v>2</v>
      </c>
      <c r="N192" s="2">
        <v>1</v>
      </c>
    </row>
    <row r="193" spans="1:14" customFormat="1" x14ac:dyDescent="0.25">
      <c r="A193" s="2">
        <v>43</v>
      </c>
      <c r="B193" s="2">
        <v>1</v>
      </c>
      <c r="C193" s="2">
        <v>0</v>
      </c>
      <c r="D193" s="2">
        <v>110</v>
      </c>
      <c r="E193" s="2">
        <v>211</v>
      </c>
      <c r="F193" s="2">
        <v>0</v>
      </c>
      <c r="G193" s="2">
        <v>1</v>
      </c>
      <c r="H193" s="2">
        <v>161</v>
      </c>
      <c r="I193" s="2">
        <v>0</v>
      </c>
      <c r="J193" s="2">
        <v>0</v>
      </c>
      <c r="K193" s="2">
        <v>2</v>
      </c>
      <c r="L193" s="2">
        <v>0</v>
      </c>
      <c r="M193" s="2">
        <v>3</v>
      </c>
      <c r="N193" s="2">
        <v>1</v>
      </c>
    </row>
    <row r="194" spans="1:14" customFormat="1" x14ac:dyDescent="0.25">
      <c r="A194" s="2">
        <v>44</v>
      </c>
      <c r="B194" s="2">
        <v>1</v>
      </c>
      <c r="C194" s="2">
        <v>1</v>
      </c>
      <c r="D194" s="2">
        <v>120</v>
      </c>
      <c r="E194" s="2">
        <v>263</v>
      </c>
      <c r="F194" s="2">
        <v>0</v>
      </c>
      <c r="G194" s="2">
        <v>1</v>
      </c>
      <c r="H194" s="2">
        <v>173</v>
      </c>
      <c r="I194" s="2">
        <v>0</v>
      </c>
      <c r="J194" s="2">
        <v>0</v>
      </c>
      <c r="K194" s="2">
        <v>2</v>
      </c>
      <c r="L194" s="2">
        <v>0</v>
      </c>
      <c r="M194" s="2">
        <v>3</v>
      </c>
      <c r="N194" s="2">
        <v>1</v>
      </c>
    </row>
    <row r="195" spans="1:14" customFormat="1" x14ac:dyDescent="0.25">
      <c r="A195" s="2">
        <v>66</v>
      </c>
      <c r="B195" s="2">
        <v>1</v>
      </c>
      <c r="C195" s="2">
        <v>0</v>
      </c>
      <c r="D195" s="2">
        <v>160</v>
      </c>
      <c r="E195" s="2">
        <v>228</v>
      </c>
      <c r="F195" s="2">
        <v>0</v>
      </c>
      <c r="G195" s="2">
        <v>0</v>
      </c>
      <c r="H195" s="2">
        <v>138</v>
      </c>
      <c r="I195" s="2">
        <v>0</v>
      </c>
      <c r="J195" s="2">
        <v>2.2999999999999998</v>
      </c>
      <c r="K195" s="2">
        <v>2</v>
      </c>
      <c r="L195" s="2">
        <v>0</v>
      </c>
      <c r="M195" s="2">
        <v>1</v>
      </c>
      <c r="N195" s="2">
        <v>1</v>
      </c>
    </row>
    <row r="196" spans="1:14" customFormat="1" x14ac:dyDescent="0.25">
      <c r="A196" s="2">
        <v>57</v>
      </c>
      <c r="B196" s="2">
        <v>1</v>
      </c>
      <c r="C196" s="2">
        <v>0</v>
      </c>
      <c r="D196" s="2">
        <v>132</v>
      </c>
      <c r="E196" s="2">
        <v>207</v>
      </c>
      <c r="F196" s="2">
        <v>0</v>
      </c>
      <c r="G196" s="2">
        <v>1</v>
      </c>
      <c r="H196" s="2">
        <v>168</v>
      </c>
      <c r="I196" s="2">
        <v>1</v>
      </c>
      <c r="J196" s="2">
        <v>0</v>
      </c>
      <c r="K196" s="2">
        <v>2</v>
      </c>
      <c r="L196" s="2">
        <v>0</v>
      </c>
      <c r="M196" s="2">
        <v>3</v>
      </c>
      <c r="N196" s="2">
        <v>1</v>
      </c>
    </row>
    <row r="197" spans="1:14" customFormat="1" x14ac:dyDescent="0.25">
      <c r="A197" s="2">
        <v>41</v>
      </c>
      <c r="B197" s="2">
        <v>0</v>
      </c>
      <c r="C197" s="2">
        <v>1</v>
      </c>
      <c r="D197" s="2">
        <v>105</v>
      </c>
      <c r="E197" s="2">
        <v>198</v>
      </c>
      <c r="F197" s="2">
        <v>0</v>
      </c>
      <c r="G197" s="2">
        <v>1</v>
      </c>
      <c r="H197" s="2">
        <v>168</v>
      </c>
      <c r="I197" s="2">
        <v>0</v>
      </c>
      <c r="J197" s="2">
        <v>0</v>
      </c>
      <c r="K197" s="2">
        <v>2</v>
      </c>
      <c r="L197" s="2">
        <v>1</v>
      </c>
      <c r="M197" s="2">
        <v>2</v>
      </c>
      <c r="N197" s="2">
        <v>1</v>
      </c>
    </row>
    <row r="198" spans="1:14" customFormat="1" x14ac:dyDescent="0.25">
      <c r="A198" s="2">
        <v>45</v>
      </c>
      <c r="B198" s="2">
        <v>0</v>
      </c>
      <c r="C198" s="2">
        <v>1</v>
      </c>
      <c r="D198" s="2">
        <v>130</v>
      </c>
      <c r="E198" s="2">
        <v>234</v>
      </c>
      <c r="F198" s="2">
        <v>0</v>
      </c>
      <c r="G198" s="2">
        <v>0</v>
      </c>
      <c r="H198" s="2">
        <v>175</v>
      </c>
      <c r="I198" s="2">
        <v>0</v>
      </c>
      <c r="J198" s="2">
        <v>0.6</v>
      </c>
      <c r="K198" s="2">
        <v>1</v>
      </c>
      <c r="L198" s="2">
        <v>0</v>
      </c>
      <c r="M198" s="2">
        <v>2</v>
      </c>
      <c r="N198" s="2">
        <v>1</v>
      </c>
    </row>
    <row r="199" spans="1:14" customFormat="1" x14ac:dyDescent="0.25">
      <c r="A199" s="2">
        <v>35</v>
      </c>
      <c r="B199" s="2">
        <v>1</v>
      </c>
      <c r="C199" s="2">
        <v>1</v>
      </c>
      <c r="D199" s="2">
        <v>122</v>
      </c>
      <c r="E199" s="2">
        <v>192</v>
      </c>
      <c r="F199" s="2">
        <v>0</v>
      </c>
      <c r="G199" s="2">
        <v>1</v>
      </c>
      <c r="H199" s="2">
        <v>174</v>
      </c>
      <c r="I199" s="2">
        <v>0</v>
      </c>
      <c r="J199" s="2">
        <v>0</v>
      </c>
      <c r="K199" s="2">
        <v>2</v>
      </c>
      <c r="L199" s="2">
        <v>0</v>
      </c>
      <c r="M199" s="2">
        <v>2</v>
      </c>
      <c r="N199" s="2">
        <v>1</v>
      </c>
    </row>
    <row r="200" spans="1:14" customFormat="1" x14ac:dyDescent="0.25">
      <c r="A200" s="2">
        <v>41</v>
      </c>
      <c r="B200" s="2">
        <v>0</v>
      </c>
      <c r="C200" s="2">
        <v>1</v>
      </c>
      <c r="D200" s="2">
        <v>130</v>
      </c>
      <c r="E200" s="2">
        <v>204</v>
      </c>
      <c r="F200" s="2">
        <v>0</v>
      </c>
      <c r="G200" s="2">
        <v>0</v>
      </c>
      <c r="H200" s="2">
        <v>172</v>
      </c>
      <c r="I200" s="2">
        <v>0</v>
      </c>
      <c r="J200" s="2">
        <v>1.4</v>
      </c>
      <c r="K200" s="2">
        <v>2</v>
      </c>
      <c r="L200" s="2">
        <v>0</v>
      </c>
      <c r="M200" s="2">
        <v>2</v>
      </c>
      <c r="N200" s="2">
        <v>1</v>
      </c>
    </row>
    <row r="201" spans="1:14" customFormat="1" x14ac:dyDescent="0.25">
      <c r="A201" s="2">
        <v>64</v>
      </c>
      <c r="B201" s="2">
        <v>0</v>
      </c>
      <c r="C201" s="2">
        <v>2</v>
      </c>
      <c r="D201" s="2">
        <v>140</v>
      </c>
      <c r="E201" s="2">
        <v>313</v>
      </c>
      <c r="F201" s="2">
        <v>0</v>
      </c>
      <c r="G201" s="2">
        <v>1</v>
      </c>
      <c r="H201" s="2">
        <v>133</v>
      </c>
      <c r="I201" s="2">
        <v>0</v>
      </c>
      <c r="J201" s="2">
        <v>0.2</v>
      </c>
      <c r="K201" s="2">
        <v>2</v>
      </c>
      <c r="L201" s="2">
        <v>0</v>
      </c>
      <c r="M201" s="2">
        <v>3</v>
      </c>
      <c r="N201" s="2">
        <v>1</v>
      </c>
    </row>
    <row r="202" spans="1:14" customFormat="1" x14ac:dyDescent="0.25">
      <c r="A202" s="2">
        <v>71</v>
      </c>
      <c r="B202" s="2">
        <v>0</v>
      </c>
      <c r="C202" s="2">
        <v>1</v>
      </c>
      <c r="D202" s="2">
        <v>160</v>
      </c>
      <c r="E202" s="2">
        <v>302</v>
      </c>
      <c r="F202" s="2">
        <v>0</v>
      </c>
      <c r="G202" s="2">
        <v>1</v>
      </c>
      <c r="H202" s="2">
        <v>162</v>
      </c>
      <c r="I202" s="2">
        <v>0</v>
      </c>
      <c r="J202" s="2">
        <v>0.4</v>
      </c>
      <c r="K202" s="2">
        <v>2</v>
      </c>
      <c r="L202" s="2">
        <v>2</v>
      </c>
      <c r="M202" s="2">
        <v>2</v>
      </c>
      <c r="N202" s="2">
        <v>1</v>
      </c>
    </row>
    <row r="203" spans="1:14" customFormat="1" x14ac:dyDescent="0.25">
      <c r="A203" s="2">
        <v>58</v>
      </c>
      <c r="B203" s="2">
        <v>0</v>
      </c>
      <c r="C203" s="2">
        <v>2</v>
      </c>
      <c r="D203" s="2">
        <v>120</v>
      </c>
      <c r="E203" s="2">
        <v>340</v>
      </c>
      <c r="F203" s="2">
        <v>0</v>
      </c>
      <c r="G203" s="2">
        <v>1</v>
      </c>
      <c r="H203" s="2">
        <v>172</v>
      </c>
      <c r="I203" s="2">
        <v>0</v>
      </c>
      <c r="J203" s="2">
        <v>0</v>
      </c>
      <c r="K203" s="2">
        <v>2</v>
      </c>
      <c r="L203" s="2">
        <v>0</v>
      </c>
      <c r="M203" s="2">
        <v>2</v>
      </c>
      <c r="N203" s="2">
        <v>1</v>
      </c>
    </row>
    <row r="204" spans="1:14" customFormat="1" x14ac:dyDescent="0.25">
      <c r="A204" s="2">
        <v>58</v>
      </c>
      <c r="B204" s="2">
        <v>1</v>
      </c>
      <c r="C204" s="2">
        <v>0</v>
      </c>
      <c r="D204" s="2">
        <v>128</v>
      </c>
      <c r="E204" s="2">
        <v>259</v>
      </c>
      <c r="F204" s="2">
        <v>0</v>
      </c>
      <c r="G204" s="2">
        <v>0</v>
      </c>
      <c r="H204" s="2">
        <v>130</v>
      </c>
      <c r="I204" s="2">
        <v>1</v>
      </c>
      <c r="J204" s="2">
        <v>3</v>
      </c>
      <c r="K204" s="2">
        <v>1</v>
      </c>
      <c r="L204" s="2">
        <v>2</v>
      </c>
      <c r="M204" s="2">
        <v>3</v>
      </c>
      <c r="N204" s="2">
        <v>0</v>
      </c>
    </row>
    <row r="205" spans="1:14" customFormat="1" x14ac:dyDescent="0.25">
      <c r="A205" s="2">
        <v>61</v>
      </c>
      <c r="B205" s="2">
        <v>1</v>
      </c>
      <c r="C205" s="2">
        <v>2</v>
      </c>
      <c r="D205" s="2">
        <v>150</v>
      </c>
      <c r="E205" s="2">
        <v>243</v>
      </c>
      <c r="F205" s="2">
        <v>1</v>
      </c>
      <c r="G205" s="2">
        <v>1</v>
      </c>
      <c r="H205" s="2">
        <v>137</v>
      </c>
      <c r="I205" s="2">
        <v>1</v>
      </c>
      <c r="J205" s="2">
        <v>1</v>
      </c>
      <c r="K205" s="2">
        <v>1</v>
      </c>
      <c r="L205" s="2">
        <v>0</v>
      </c>
      <c r="M205" s="2">
        <v>2</v>
      </c>
      <c r="N205" s="2">
        <v>1</v>
      </c>
    </row>
    <row r="206" spans="1:14" customFormat="1" x14ac:dyDescent="0.25">
      <c r="A206" s="2">
        <v>58</v>
      </c>
      <c r="B206" s="2">
        <v>1</v>
      </c>
      <c r="C206" s="2">
        <v>0</v>
      </c>
      <c r="D206" s="2">
        <v>150</v>
      </c>
      <c r="E206" s="2">
        <v>270</v>
      </c>
      <c r="F206" s="2">
        <v>0</v>
      </c>
      <c r="G206" s="2">
        <v>0</v>
      </c>
      <c r="H206" s="2">
        <v>111</v>
      </c>
      <c r="I206" s="2">
        <v>1</v>
      </c>
      <c r="J206" s="2">
        <v>0.8</v>
      </c>
      <c r="K206" s="2">
        <v>2</v>
      </c>
      <c r="L206" s="2">
        <v>0</v>
      </c>
      <c r="M206" s="2">
        <v>3</v>
      </c>
      <c r="N206" s="2">
        <v>0</v>
      </c>
    </row>
    <row r="207" spans="1:14" customFormat="1" x14ac:dyDescent="0.25">
      <c r="A207" s="2">
        <v>52</v>
      </c>
      <c r="B207" s="2">
        <v>1</v>
      </c>
      <c r="C207" s="2">
        <v>1</v>
      </c>
      <c r="D207" s="2">
        <v>120</v>
      </c>
      <c r="E207" s="2">
        <v>325</v>
      </c>
      <c r="F207" s="2">
        <v>0</v>
      </c>
      <c r="G207" s="2">
        <v>1</v>
      </c>
      <c r="H207" s="2">
        <v>172</v>
      </c>
      <c r="I207" s="2">
        <v>0</v>
      </c>
      <c r="J207" s="2">
        <v>0.2</v>
      </c>
      <c r="K207" s="2">
        <v>2</v>
      </c>
      <c r="L207" s="2">
        <v>0</v>
      </c>
      <c r="M207" s="2">
        <v>2</v>
      </c>
      <c r="N207" s="2">
        <v>1</v>
      </c>
    </row>
    <row r="208" spans="1:14" customFormat="1" x14ac:dyDescent="0.25">
      <c r="A208" s="2">
        <v>46</v>
      </c>
      <c r="B208" s="2">
        <v>0</v>
      </c>
      <c r="C208" s="2">
        <v>1</v>
      </c>
      <c r="D208" s="2">
        <v>105</v>
      </c>
      <c r="E208" s="2">
        <v>204</v>
      </c>
      <c r="F208" s="2">
        <v>0</v>
      </c>
      <c r="G208" s="2">
        <v>1</v>
      </c>
      <c r="H208" s="2">
        <v>172</v>
      </c>
      <c r="I208" s="2">
        <v>0</v>
      </c>
      <c r="J208" s="2">
        <v>0</v>
      </c>
      <c r="K208" s="2">
        <v>2</v>
      </c>
      <c r="L208" s="2">
        <v>0</v>
      </c>
      <c r="M208" s="2">
        <v>2</v>
      </c>
      <c r="N208" s="2">
        <v>1</v>
      </c>
    </row>
    <row r="209" spans="1:14" customFormat="1" x14ac:dyDescent="0.25">
      <c r="A209" s="2">
        <v>51</v>
      </c>
      <c r="B209" s="2">
        <v>1</v>
      </c>
      <c r="C209" s="2">
        <v>2</v>
      </c>
      <c r="D209" s="2">
        <v>94</v>
      </c>
      <c r="E209" s="2">
        <v>227</v>
      </c>
      <c r="F209" s="2">
        <v>0</v>
      </c>
      <c r="G209" s="2">
        <v>1</v>
      </c>
      <c r="H209" s="2">
        <v>154</v>
      </c>
      <c r="I209" s="2">
        <v>1</v>
      </c>
      <c r="J209" s="2">
        <v>0</v>
      </c>
      <c r="K209" s="2">
        <v>2</v>
      </c>
      <c r="L209" s="2">
        <v>1</v>
      </c>
      <c r="M209" s="2">
        <v>3</v>
      </c>
      <c r="N209" s="2">
        <v>1</v>
      </c>
    </row>
    <row r="210" spans="1:14" customFormat="1" x14ac:dyDescent="0.25">
      <c r="A210" s="2">
        <v>52</v>
      </c>
      <c r="B210" s="2">
        <v>0</v>
      </c>
      <c r="C210" s="2">
        <v>2</v>
      </c>
      <c r="D210" s="2">
        <v>136</v>
      </c>
      <c r="E210" s="2">
        <v>196</v>
      </c>
      <c r="F210" s="2">
        <v>0</v>
      </c>
      <c r="G210" s="2">
        <v>0</v>
      </c>
      <c r="H210" s="2">
        <v>169</v>
      </c>
      <c r="I210" s="2">
        <v>0</v>
      </c>
      <c r="J210" s="2">
        <v>0.1</v>
      </c>
      <c r="K210" s="2">
        <v>1</v>
      </c>
      <c r="L210" s="2">
        <v>0</v>
      </c>
      <c r="M210" s="2">
        <v>2</v>
      </c>
      <c r="N210" s="2">
        <v>1</v>
      </c>
    </row>
    <row r="211" spans="1:14" customFormat="1" x14ac:dyDescent="0.25">
      <c r="A211" s="2">
        <v>62</v>
      </c>
      <c r="B211" s="2">
        <v>1</v>
      </c>
      <c r="C211" s="2">
        <v>0</v>
      </c>
      <c r="D211" s="2">
        <v>120</v>
      </c>
      <c r="E211" s="2">
        <v>267</v>
      </c>
      <c r="F211" s="2">
        <v>0</v>
      </c>
      <c r="G211" s="2">
        <v>1</v>
      </c>
      <c r="H211" s="2">
        <v>99</v>
      </c>
      <c r="I211" s="2">
        <v>1</v>
      </c>
      <c r="J211" s="2">
        <v>1.8</v>
      </c>
      <c r="K211" s="2">
        <v>1</v>
      </c>
      <c r="L211" s="2">
        <v>2</v>
      </c>
      <c r="M211" s="2">
        <v>3</v>
      </c>
      <c r="N211" s="2">
        <v>0</v>
      </c>
    </row>
    <row r="212" spans="1:14" customFormat="1" x14ac:dyDescent="0.25">
      <c r="A212" s="2">
        <v>56</v>
      </c>
      <c r="B212" s="2">
        <v>0</v>
      </c>
      <c r="C212" s="2">
        <v>1</v>
      </c>
      <c r="D212" s="2">
        <v>140</v>
      </c>
      <c r="E212" s="2">
        <v>294</v>
      </c>
      <c r="F212" s="2">
        <v>0</v>
      </c>
      <c r="G212" s="2">
        <v>0</v>
      </c>
      <c r="H212" s="2">
        <v>153</v>
      </c>
      <c r="I212" s="2">
        <v>0</v>
      </c>
      <c r="J212" s="2">
        <v>1.3</v>
      </c>
      <c r="K212" s="2">
        <v>1</v>
      </c>
      <c r="L212" s="2">
        <v>0</v>
      </c>
      <c r="M212" s="2">
        <v>2</v>
      </c>
      <c r="N212" s="2">
        <v>1</v>
      </c>
    </row>
    <row r="213" spans="1:14" customFormat="1" x14ac:dyDescent="0.25">
      <c r="A213" s="2">
        <v>74</v>
      </c>
      <c r="B213" s="2">
        <v>0</v>
      </c>
      <c r="C213" s="2">
        <v>1</v>
      </c>
      <c r="D213" s="2">
        <v>120</v>
      </c>
      <c r="E213" s="2">
        <v>269</v>
      </c>
      <c r="F213" s="2">
        <v>0</v>
      </c>
      <c r="G213" s="2">
        <v>0</v>
      </c>
      <c r="H213" s="2">
        <v>121</v>
      </c>
      <c r="I213" s="2">
        <v>1</v>
      </c>
      <c r="J213" s="2">
        <v>0.2</v>
      </c>
      <c r="K213" s="2">
        <v>2</v>
      </c>
      <c r="L213" s="2">
        <v>1</v>
      </c>
      <c r="M213" s="2">
        <v>2</v>
      </c>
      <c r="N213" s="2">
        <v>1</v>
      </c>
    </row>
    <row r="214" spans="1:14" customFormat="1" x14ac:dyDescent="0.25">
      <c r="A214" s="2">
        <v>53</v>
      </c>
      <c r="B214" s="2">
        <v>0</v>
      </c>
      <c r="C214" s="2">
        <v>2</v>
      </c>
      <c r="D214" s="2">
        <v>128</v>
      </c>
      <c r="E214" s="2">
        <v>216</v>
      </c>
      <c r="F214" s="2">
        <v>0</v>
      </c>
      <c r="G214" s="2">
        <v>0</v>
      </c>
      <c r="H214" s="2">
        <v>115</v>
      </c>
      <c r="I214" s="2">
        <v>0</v>
      </c>
      <c r="J214" s="2">
        <v>0</v>
      </c>
      <c r="K214" s="2">
        <v>2</v>
      </c>
      <c r="L214" s="2">
        <v>0</v>
      </c>
      <c r="M214" s="2">
        <v>0</v>
      </c>
      <c r="N214" s="2">
        <v>1</v>
      </c>
    </row>
    <row r="215" spans="1:14" customFormat="1" x14ac:dyDescent="0.25">
      <c r="A215" s="2">
        <v>53</v>
      </c>
      <c r="B215" s="2">
        <v>0</v>
      </c>
      <c r="C215" s="2">
        <v>0</v>
      </c>
      <c r="D215" s="2">
        <v>130</v>
      </c>
      <c r="E215" s="2">
        <v>264</v>
      </c>
      <c r="F215" s="2">
        <v>0</v>
      </c>
      <c r="G215" s="2">
        <v>0</v>
      </c>
      <c r="H215" s="2">
        <v>143</v>
      </c>
      <c r="I215" s="2">
        <v>0</v>
      </c>
      <c r="J215" s="2">
        <v>0.4</v>
      </c>
      <c r="K215" s="2">
        <v>1</v>
      </c>
      <c r="L215" s="2">
        <v>0</v>
      </c>
      <c r="M215" s="2">
        <v>2</v>
      </c>
      <c r="N215" s="2">
        <v>1</v>
      </c>
    </row>
    <row r="216" spans="1:14" customFormat="1" x14ac:dyDescent="0.25">
      <c r="A216" s="2">
        <v>48</v>
      </c>
      <c r="B216" s="2">
        <v>0</v>
      </c>
      <c r="C216" s="2">
        <v>2</v>
      </c>
      <c r="D216" s="2">
        <v>130</v>
      </c>
      <c r="E216" s="2">
        <v>275</v>
      </c>
      <c r="F216" s="2">
        <v>0</v>
      </c>
      <c r="G216" s="2">
        <v>1</v>
      </c>
      <c r="H216" s="2">
        <v>139</v>
      </c>
      <c r="I216" s="2">
        <v>0</v>
      </c>
      <c r="J216" s="2">
        <v>0.2</v>
      </c>
      <c r="K216" s="2">
        <v>2</v>
      </c>
      <c r="L216" s="2">
        <v>0</v>
      </c>
      <c r="M216" s="2">
        <v>2</v>
      </c>
      <c r="N216" s="2">
        <v>1</v>
      </c>
    </row>
    <row r="217" spans="1:14" customFormat="1" x14ac:dyDescent="0.25">
      <c r="A217" s="2">
        <v>45</v>
      </c>
      <c r="B217" s="2">
        <v>1</v>
      </c>
      <c r="C217" s="2">
        <v>0</v>
      </c>
      <c r="D217" s="2">
        <v>142</v>
      </c>
      <c r="E217" s="2">
        <v>309</v>
      </c>
      <c r="F217" s="2">
        <v>0</v>
      </c>
      <c r="G217" s="2">
        <v>0</v>
      </c>
      <c r="H217" s="2">
        <v>147</v>
      </c>
      <c r="I217" s="2">
        <v>1</v>
      </c>
      <c r="J217" s="2">
        <v>0</v>
      </c>
      <c r="K217" s="2">
        <v>1</v>
      </c>
      <c r="L217" s="2">
        <v>3</v>
      </c>
      <c r="M217" s="2">
        <v>3</v>
      </c>
      <c r="N217" s="2">
        <v>0</v>
      </c>
    </row>
    <row r="218" spans="1:14" customFormat="1" x14ac:dyDescent="0.25">
      <c r="A218" s="2">
        <v>66</v>
      </c>
      <c r="B218" s="2">
        <v>1</v>
      </c>
      <c r="C218" s="2">
        <v>1</v>
      </c>
      <c r="D218" s="2">
        <v>160</v>
      </c>
      <c r="E218" s="2">
        <v>246</v>
      </c>
      <c r="F218" s="2">
        <v>0</v>
      </c>
      <c r="G218" s="2">
        <v>1</v>
      </c>
      <c r="H218" s="2">
        <v>120</v>
      </c>
      <c r="I218" s="2">
        <v>1</v>
      </c>
      <c r="J218" s="2">
        <v>0</v>
      </c>
      <c r="K218" s="2">
        <v>1</v>
      </c>
      <c r="L218" s="2">
        <v>3</v>
      </c>
      <c r="M218" s="2">
        <v>1</v>
      </c>
      <c r="N218" s="2">
        <v>0</v>
      </c>
    </row>
    <row r="219" spans="1:14" customFormat="1" x14ac:dyDescent="0.25">
      <c r="A219" s="2">
        <v>57</v>
      </c>
      <c r="B219" s="2">
        <v>1</v>
      </c>
      <c r="C219" s="2">
        <v>0</v>
      </c>
      <c r="D219" s="2">
        <v>150</v>
      </c>
      <c r="E219" s="2">
        <v>276</v>
      </c>
      <c r="F219" s="2">
        <v>0</v>
      </c>
      <c r="G219" s="2">
        <v>0</v>
      </c>
      <c r="H219" s="2">
        <v>112</v>
      </c>
      <c r="I219" s="2">
        <v>1</v>
      </c>
      <c r="J219" s="2">
        <v>0.6</v>
      </c>
      <c r="K219" s="2">
        <v>1</v>
      </c>
      <c r="L219" s="2">
        <v>1</v>
      </c>
      <c r="M219" s="2">
        <v>1</v>
      </c>
      <c r="N219" s="2">
        <v>0</v>
      </c>
    </row>
    <row r="220" spans="1:14" customFormat="1" x14ac:dyDescent="0.25">
      <c r="A220" s="2">
        <v>70</v>
      </c>
      <c r="B220" s="2">
        <v>1</v>
      </c>
      <c r="C220" s="2">
        <v>0</v>
      </c>
      <c r="D220" s="2">
        <v>130</v>
      </c>
      <c r="E220" s="2">
        <v>322</v>
      </c>
      <c r="F220" s="2">
        <v>0</v>
      </c>
      <c r="G220" s="2">
        <v>0</v>
      </c>
      <c r="H220" s="2">
        <v>109</v>
      </c>
      <c r="I220" s="2">
        <v>0</v>
      </c>
      <c r="J220" s="2">
        <v>2.4</v>
      </c>
      <c r="K220" s="2">
        <v>1</v>
      </c>
      <c r="L220" s="2">
        <v>3</v>
      </c>
      <c r="M220" s="2">
        <v>2</v>
      </c>
      <c r="N220" s="2">
        <v>0</v>
      </c>
    </row>
    <row r="221" spans="1:14" customFormat="1" x14ac:dyDescent="0.25">
      <c r="A221" s="2">
        <v>63</v>
      </c>
      <c r="B221" s="2">
        <v>0</v>
      </c>
      <c r="C221" s="2">
        <v>0</v>
      </c>
      <c r="D221" s="2">
        <v>108</v>
      </c>
      <c r="E221" s="2">
        <v>269</v>
      </c>
      <c r="F221" s="2">
        <v>0</v>
      </c>
      <c r="G221" s="2">
        <v>1</v>
      </c>
      <c r="H221" s="2">
        <v>169</v>
      </c>
      <c r="I221" s="2">
        <v>1</v>
      </c>
      <c r="J221" s="2">
        <v>1.8</v>
      </c>
      <c r="K221" s="2">
        <v>1</v>
      </c>
      <c r="L221" s="2">
        <v>2</v>
      </c>
      <c r="M221" s="2">
        <v>2</v>
      </c>
      <c r="N221" s="2">
        <v>0</v>
      </c>
    </row>
    <row r="222" spans="1:14" customFormat="1" x14ac:dyDescent="0.25">
      <c r="A222" s="2">
        <v>37</v>
      </c>
      <c r="B222" s="2">
        <v>1</v>
      </c>
      <c r="C222" s="2">
        <v>2</v>
      </c>
      <c r="D222" s="2">
        <v>130</v>
      </c>
      <c r="E222" s="2">
        <v>250</v>
      </c>
      <c r="F222" s="2">
        <v>0</v>
      </c>
      <c r="G222" s="2">
        <v>1</v>
      </c>
      <c r="H222" s="2">
        <v>187</v>
      </c>
      <c r="I222" s="2">
        <v>0</v>
      </c>
      <c r="J222" s="2">
        <v>3.5</v>
      </c>
      <c r="K222" s="2">
        <v>0</v>
      </c>
      <c r="L222" s="2">
        <v>0</v>
      </c>
      <c r="M222" s="2">
        <v>2</v>
      </c>
      <c r="N222" s="2">
        <v>1</v>
      </c>
    </row>
    <row r="223" spans="1:14" customFormat="1" x14ac:dyDescent="0.25">
      <c r="A223" s="2">
        <v>54</v>
      </c>
      <c r="B223" s="2">
        <v>0</v>
      </c>
      <c r="C223" s="2">
        <v>2</v>
      </c>
      <c r="D223" s="2">
        <v>110</v>
      </c>
      <c r="E223" s="2">
        <v>214</v>
      </c>
      <c r="F223" s="2">
        <v>0</v>
      </c>
      <c r="G223" s="2">
        <v>1</v>
      </c>
      <c r="H223" s="2">
        <v>158</v>
      </c>
      <c r="I223" s="2">
        <v>0</v>
      </c>
      <c r="J223" s="2">
        <v>1.6</v>
      </c>
      <c r="K223" s="2">
        <v>1</v>
      </c>
      <c r="L223" s="2">
        <v>0</v>
      </c>
      <c r="M223" s="2">
        <v>2</v>
      </c>
      <c r="N223" s="2">
        <v>1</v>
      </c>
    </row>
    <row r="224" spans="1:14" customFormat="1" x14ac:dyDescent="0.25">
      <c r="A224" s="2">
        <v>60</v>
      </c>
      <c r="B224" s="2">
        <v>1</v>
      </c>
      <c r="C224" s="2">
        <v>0</v>
      </c>
      <c r="D224" s="2">
        <v>130</v>
      </c>
      <c r="E224" s="2">
        <v>206</v>
      </c>
      <c r="F224" s="2">
        <v>0</v>
      </c>
      <c r="G224" s="2">
        <v>0</v>
      </c>
      <c r="H224" s="2">
        <v>132</v>
      </c>
      <c r="I224" s="2">
        <v>1</v>
      </c>
      <c r="J224" s="2">
        <v>2.4</v>
      </c>
      <c r="K224" s="2">
        <v>1</v>
      </c>
      <c r="L224" s="2">
        <v>2</v>
      </c>
      <c r="M224" s="2">
        <v>3</v>
      </c>
      <c r="N224" s="2">
        <v>0</v>
      </c>
    </row>
    <row r="225" spans="1:14" customFormat="1" x14ac:dyDescent="0.25">
      <c r="A225" s="2">
        <v>54</v>
      </c>
      <c r="B225" s="2">
        <v>1</v>
      </c>
      <c r="C225" s="2">
        <v>2</v>
      </c>
      <c r="D225" s="2">
        <v>125</v>
      </c>
      <c r="E225" s="2">
        <v>273</v>
      </c>
      <c r="F225" s="2">
        <v>0</v>
      </c>
      <c r="G225" s="2">
        <v>0</v>
      </c>
      <c r="H225" s="2">
        <v>152</v>
      </c>
      <c r="I225" s="2">
        <v>0</v>
      </c>
      <c r="J225" s="2">
        <v>0.5</v>
      </c>
      <c r="K225" s="2">
        <v>0</v>
      </c>
      <c r="L225" s="2">
        <v>1</v>
      </c>
      <c r="M225" s="2">
        <v>2</v>
      </c>
      <c r="N225" s="2">
        <v>1</v>
      </c>
    </row>
    <row r="226" spans="1:14" customFormat="1" x14ac:dyDescent="0.25">
      <c r="A226" s="2">
        <v>60</v>
      </c>
      <c r="B226" s="2">
        <v>1</v>
      </c>
      <c r="C226" s="2">
        <v>0</v>
      </c>
      <c r="D226" s="2">
        <v>130</v>
      </c>
      <c r="E226" s="2">
        <v>253</v>
      </c>
      <c r="F226" s="2">
        <v>0</v>
      </c>
      <c r="G226" s="2">
        <v>1</v>
      </c>
      <c r="H226" s="2">
        <v>144</v>
      </c>
      <c r="I226" s="2">
        <v>1</v>
      </c>
      <c r="J226" s="2">
        <v>1.4</v>
      </c>
      <c r="K226" s="2">
        <v>2</v>
      </c>
      <c r="L226" s="2">
        <v>1</v>
      </c>
      <c r="M226" s="2">
        <v>3</v>
      </c>
      <c r="N226" s="2">
        <v>0</v>
      </c>
    </row>
    <row r="227" spans="1:14" customFormat="1" x14ac:dyDescent="0.25">
      <c r="A227" s="2">
        <v>65</v>
      </c>
      <c r="B227" s="2">
        <v>0</v>
      </c>
      <c r="C227" s="2">
        <v>2</v>
      </c>
      <c r="D227" s="2">
        <v>155</v>
      </c>
      <c r="E227" s="2">
        <v>269</v>
      </c>
      <c r="F227" s="2">
        <v>0</v>
      </c>
      <c r="G227" s="2">
        <v>1</v>
      </c>
      <c r="H227" s="2">
        <v>148</v>
      </c>
      <c r="I227" s="2">
        <v>0</v>
      </c>
      <c r="J227" s="2">
        <v>0.8</v>
      </c>
      <c r="K227" s="2">
        <v>2</v>
      </c>
      <c r="L227" s="2">
        <v>0</v>
      </c>
      <c r="M227" s="2">
        <v>2</v>
      </c>
      <c r="N227" s="2">
        <v>1</v>
      </c>
    </row>
    <row r="228" spans="1:14" customFormat="1" x14ac:dyDescent="0.25">
      <c r="A228" s="2">
        <v>52</v>
      </c>
      <c r="B228" s="2">
        <v>1</v>
      </c>
      <c r="C228" s="2">
        <v>2</v>
      </c>
      <c r="D228" s="2">
        <v>172</v>
      </c>
      <c r="E228" s="2">
        <v>199</v>
      </c>
      <c r="F228" s="2">
        <v>1</v>
      </c>
      <c r="G228" s="2">
        <v>1</v>
      </c>
      <c r="H228" s="2">
        <v>162</v>
      </c>
      <c r="I228" s="2">
        <v>0</v>
      </c>
      <c r="J228" s="2">
        <v>0.5</v>
      </c>
      <c r="K228" s="2">
        <v>2</v>
      </c>
      <c r="L228" s="2">
        <v>0</v>
      </c>
      <c r="M228" s="2">
        <v>3</v>
      </c>
      <c r="N228" s="2">
        <v>1</v>
      </c>
    </row>
    <row r="229" spans="1:14" customFormat="1" x14ac:dyDescent="0.25">
      <c r="A229" s="2">
        <v>43</v>
      </c>
      <c r="B229" s="2">
        <v>1</v>
      </c>
      <c r="C229" s="2">
        <v>0</v>
      </c>
      <c r="D229" s="2">
        <v>132</v>
      </c>
      <c r="E229" s="2">
        <v>247</v>
      </c>
      <c r="F229" s="2">
        <v>1</v>
      </c>
      <c r="G229" s="2">
        <v>0</v>
      </c>
      <c r="H229" s="2">
        <v>143</v>
      </c>
      <c r="I229" s="2">
        <v>1</v>
      </c>
      <c r="J229" s="2">
        <v>0.1</v>
      </c>
      <c r="K229" s="2">
        <v>1</v>
      </c>
      <c r="L229" s="2">
        <v>4</v>
      </c>
      <c r="M229" s="2">
        <v>3</v>
      </c>
      <c r="N229" s="2">
        <v>0</v>
      </c>
    </row>
    <row r="230" spans="1:14" customFormat="1" x14ac:dyDescent="0.25">
      <c r="A230" s="2">
        <v>62</v>
      </c>
      <c r="B230" s="2">
        <v>0</v>
      </c>
      <c r="C230" s="2">
        <v>2</v>
      </c>
      <c r="D230" s="2">
        <v>130</v>
      </c>
      <c r="E230" s="2">
        <v>263</v>
      </c>
      <c r="F230" s="2">
        <v>0</v>
      </c>
      <c r="G230" s="2">
        <v>1</v>
      </c>
      <c r="H230" s="2">
        <v>97</v>
      </c>
      <c r="I230" s="2">
        <v>0</v>
      </c>
      <c r="J230" s="2">
        <v>1.2</v>
      </c>
      <c r="K230" s="2">
        <v>1</v>
      </c>
      <c r="L230" s="2">
        <v>1</v>
      </c>
      <c r="M230" s="2">
        <v>3</v>
      </c>
      <c r="N230" s="2">
        <v>0</v>
      </c>
    </row>
    <row r="231" spans="1:14" customFormat="1" x14ac:dyDescent="0.25">
      <c r="A231" s="2">
        <v>57</v>
      </c>
      <c r="B231" s="2">
        <v>1</v>
      </c>
      <c r="C231" s="2">
        <v>0</v>
      </c>
      <c r="D231" s="2">
        <v>110</v>
      </c>
      <c r="E231" s="2">
        <v>201</v>
      </c>
      <c r="F231" s="2">
        <v>0</v>
      </c>
      <c r="G231" s="2">
        <v>1</v>
      </c>
      <c r="H231" s="2">
        <v>126</v>
      </c>
      <c r="I231" s="2">
        <v>1</v>
      </c>
      <c r="J231" s="2">
        <v>1.5</v>
      </c>
      <c r="K231" s="2">
        <v>1</v>
      </c>
      <c r="L231" s="2">
        <v>0</v>
      </c>
      <c r="M231" s="2">
        <v>1</v>
      </c>
      <c r="N231" s="2">
        <v>1</v>
      </c>
    </row>
    <row r="232" spans="1:14" customFormat="1" x14ac:dyDescent="0.25">
      <c r="A232" s="2">
        <v>46</v>
      </c>
      <c r="B232" s="2">
        <v>0</v>
      </c>
      <c r="C232" s="2">
        <v>0</v>
      </c>
      <c r="D232" s="2">
        <v>138</v>
      </c>
      <c r="E232" s="2">
        <v>243</v>
      </c>
      <c r="F232" s="2">
        <v>0</v>
      </c>
      <c r="G232" s="2">
        <v>0</v>
      </c>
      <c r="H232" s="2">
        <v>152</v>
      </c>
      <c r="I232" s="2">
        <v>1</v>
      </c>
      <c r="J232" s="2">
        <v>0</v>
      </c>
      <c r="K232" s="2">
        <v>1</v>
      </c>
      <c r="L232" s="2">
        <v>0</v>
      </c>
      <c r="M232" s="2">
        <v>2</v>
      </c>
      <c r="N232" s="2">
        <v>1</v>
      </c>
    </row>
    <row r="233" spans="1:14" customFormat="1" x14ac:dyDescent="0.25">
      <c r="A233" s="2">
        <v>59</v>
      </c>
      <c r="B233" s="2">
        <v>1</v>
      </c>
      <c r="C233" s="2">
        <v>0</v>
      </c>
      <c r="D233" s="2">
        <v>164</v>
      </c>
      <c r="E233" s="2">
        <v>176</v>
      </c>
      <c r="F233" s="2">
        <v>1</v>
      </c>
      <c r="G233" s="2">
        <v>0</v>
      </c>
      <c r="H233" s="2">
        <v>90</v>
      </c>
      <c r="I233" s="2">
        <v>0</v>
      </c>
      <c r="J233" s="2">
        <v>1</v>
      </c>
      <c r="K233" s="2">
        <v>1</v>
      </c>
      <c r="L233" s="2">
        <v>2</v>
      </c>
      <c r="M233" s="2">
        <v>1</v>
      </c>
      <c r="N233" s="2">
        <v>0</v>
      </c>
    </row>
    <row r="234" spans="1:14" customFormat="1" x14ac:dyDescent="0.25">
      <c r="A234" s="2">
        <v>59</v>
      </c>
      <c r="B234" s="2">
        <v>1</v>
      </c>
      <c r="C234" s="2">
        <v>3</v>
      </c>
      <c r="D234" s="2">
        <v>134</v>
      </c>
      <c r="E234" s="2">
        <v>204</v>
      </c>
      <c r="F234" s="2">
        <v>0</v>
      </c>
      <c r="G234" s="2">
        <v>1</v>
      </c>
      <c r="H234" s="2">
        <v>162</v>
      </c>
      <c r="I234" s="2">
        <v>0</v>
      </c>
      <c r="J234" s="2">
        <v>0.8</v>
      </c>
      <c r="K234" s="2">
        <v>2</v>
      </c>
      <c r="L234" s="2">
        <v>2</v>
      </c>
      <c r="M234" s="2">
        <v>2</v>
      </c>
      <c r="N234" s="2">
        <v>0</v>
      </c>
    </row>
    <row r="235" spans="1:14" customFormat="1" x14ac:dyDescent="0.25">
      <c r="A235" s="2">
        <v>62</v>
      </c>
      <c r="B235" s="2">
        <v>1</v>
      </c>
      <c r="C235" s="2">
        <v>2</v>
      </c>
      <c r="D235" s="2">
        <v>130</v>
      </c>
      <c r="E235" s="2">
        <v>231</v>
      </c>
      <c r="F235" s="2">
        <v>0</v>
      </c>
      <c r="G235" s="2">
        <v>1</v>
      </c>
      <c r="H235" s="2">
        <v>146</v>
      </c>
      <c r="I235" s="2">
        <v>0</v>
      </c>
      <c r="J235" s="2">
        <v>1.8</v>
      </c>
      <c r="K235" s="2">
        <v>1</v>
      </c>
      <c r="L235" s="2">
        <v>3</v>
      </c>
      <c r="M235" s="2">
        <v>3</v>
      </c>
      <c r="N235" s="2">
        <v>1</v>
      </c>
    </row>
    <row r="236" spans="1:14" customFormat="1" x14ac:dyDescent="0.25">
      <c r="A236" s="2">
        <v>53</v>
      </c>
      <c r="B236" s="2">
        <v>1</v>
      </c>
      <c r="C236" s="2">
        <v>2</v>
      </c>
      <c r="D236" s="2">
        <v>130</v>
      </c>
      <c r="E236" s="2">
        <v>246</v>
      </c>
      <c r="F236" s="2">
        <v>1</v>
      </c>
      <c r="G236" s="2">
        <v>0</v>
      </c>
      <c r="H236" s="2">
        <v>173</v>
      </c>
      <c r="I236" s="2">
        <v>0</v>
      </c>
      <c r="J236" s="2">
        <v>0</v>
      </c>
      <c r="K236" s="2">
        <v>2</v>
      </c>
      <c r="L236" s="2">
        <v>3</v>
      </c>
      <c r="M236" s="2">
        <v>2</v>
      </c>
      <c r="N236" s="2">
        <v>1</v>
      </c>
    </row>
    <row r="237" spans="1:14" customFormat="1" x14ac:dyDescent="0.25">
      <c r="A237" s="2">
        <v>58</v>
      </c>
      <c r="B237" s="2">
        <v>1</v>
      </c>
      <c r="C237" s="2">
        <v>2</v>
      </c>
      <c r="D237" s="2">
        <v>112</v>
      </c>
      <c r="E237" s="2">
        <v>230</v>
      </c>
      <c r="F237" s="2">
        <v>0</v>
      </c>
      <c r="G237" s="2">
        <v>0</v>
      </c>
      <c r="H237" s="2">
        <v>165</v>
      </c>
      <c r="I237" s="2">
        <v>0</v>
      </c>
      <c r="J237" s="2">
        <v>2.5</v>
      </c>
      <c r="K237" s="2">
        <v>1</v>
      </c>
      <c r="L237" s="2">
        <v>1</v>
      </c>
      <c r="M237" s="2">
        <v>3</v>
      </c>
      <c r="N237" s="2">
        <v>0</v>
      </c>
    </row>
    <row r="238" spans="1:14" customFormat="1" x14ac:dyDescent="0.25">
      <c r="A238" s="2">
        <v>48</v>
      </c>
      <c r="B238" s="2">
        <v>1</v>
      </c>
      <c r="C238" s="2">
        <v>1</v>
      </c>
      <c r="D238" s="2">
        <v>110</v>
      </c>
      <c r="E238" s="2">
        <v>229</v>
      </c>
      <c r="F238" s="2">
        <v>0</v>
      </c>
      <c r="G238" s="2">
        <v>1</v>
      </c>
      <c r="H238" s="2">
        <v>168</v>
      </c>
      <c r="I238" s="2">
        <v>0</v>
      </c>
      <c r="J238" s="2">
        <v>1</v>
      </c>
      <c r="K238" s="2">
        <v>0</v>
      </c>
      <c r="L238" s="2">
        <v>0</v>
      </c>
      <c r="M238" s="2">
        <v>3</v>
      </c>
      <c r="N238" s="2">
        <v>0</v>
      </c>
    </row>
    <row r="239" spans="1:14" customFormat="1" x14ac:dyDescent="0.25">
      <c r="A239" s="2">
        <v>58</v>
      </c>
      <c r="B239" s="2">
        <v>1</v>
      </c>
      <c r="C239" s="2">
        <v>2</v>
      </c>
      <c r="D239" s="2">
        <v>105</v>
      </c>
      <c r="E239" s="2">
        <v>240</v>
      </c>
      <c r="F239" s="2">
        <v>0</v>
      </c>
      <c r="G239" s="2">
        <v>0</v>
      </c>
      <c r="H239" s="2">
        <v>154</v>
      </c>
      <c r="I239" s="2">
        <v>1</v>
      </c>
      <c r="J239" s="2">
        <v>0.6</v>
      </c>
      <c r="K239" s="2">
        <v>1</v>
      </c>
      <c r="L239" s="2">
        <v>0</v>
      </c>
      <c r="M239" s="2">
        <v>3</v>
      </c>
      <c r="N239" s="2">
        <v>1</v>
      </c>
    </row>
    <row r="240" spans="1:14" customFormat="1" x14ac:dyDescent="0.25">
      <c r="A240" s="2">
        <v>51</v>
      </c>
      <c r="B240" s="2">
        <v>1</v>
      </c>
      <c r="C240" s="2">
        <v>2</v>
      </c>
      <c r="D240" s="2">
        <v>110</v>
      </c>
      <c r="E240" s="2">
        <v>175</v>
      </c>
      <c r="F240" s="2">
        <v>0</v>
      </c>
      <c r="G240" s="2">
        <v>1</v>
      </c>
      <c r="H240" s="2">
        <v>123</v>
      </c>
      <c r="I240" s="2">
        <v>0</v>
      </c>
      <c r="J240" s="2">
        <v>0.6</v>
      </c>
      <c r="K240" s="2">
        <v>2</v>
      </c>
      <c r="L240" s="2">
        <v>0</v>
      </c>
      <c r="M240" s="2">
        <v>2</v>
      </c>
      <c r="N240" s="2">
        <v>1</v>
      </c>
    </row>
    <row r="241" spans="1:14" customFormat="1" x14ac:dyDescent="0.25">
      <c r="A241" s="2">
        <v>58</v>
      </c>
      <c r="B241" s="2">
        <v>1</v>
      </c>
      <c r="C241" s="2">
        <v>1</v>
      </c>
      <c r="D241" s="2">
        <v>120</v>
      </c>
      <c r="E241" s="2">
        <v>284</v>
      </c>
      <c r="F241" s="2">
        <v>0</v>
      </c>
      <c r="G241" s="2">
        <v>0</v>
      </c>
      <c r="H241" s="2">
        <v>160</v>
      </c>
      <c r="I241" s="2">
        <v>0</v>
      </c>
      <c r="J241" s="2">
        <v>1.8</v>
      </c>
      <c r="K241" s="2">
        <v>1</v>
      </c>
      <c r="L241" s="2">
        <v>0</v>
      </c>
      <c r="M241" s="2">
        <v>2</v>
      </c>
      <c r="N241" s="2">
        <v>0</v>
      </c>
    </row>
    <row r="242" spans="1:14" customFormat="1" x14ac:dyDescent="0.25">
      <c r="A242" s="2">
        <v>46</v>
      </c>
      <c r="B242" s="2">
        <v>0</v>
      </c>
      <c r="C242" s="2">
        <v>2</v>
      </c>
      <c r="D242" s="2">
        <v>142</v>
      </c>
      <c r="E242" s="2">
        <v>177</v>
      </c>
      <c r="F242" s="2">
        <v>0</v>
      </c>
      <c r="G242" s="2">
        <v>0</v>
      </c>
      <c r="H242" s="2">
        <v>160</v>
      </c>
      <c r="I242" s="2">
        <v>1</v>
      </c>
      <c r="J242" s="2">
        <v>1.4</v>
      </c>
      <c r="K242" s="2">
        <v>0</v>
      </c>
      <c r="L242" s="2">
        <v>0</v>
      </c>
      <c r="M242" s="2">
        <v>2</v>
      </c>
      <c r="N242" s="2">
        <v>1</v>
      </c>
    </row>
    <row r="243" spans="1:14" customFormat="1" x14ac:dyDescent="0.25">
      <c r="A243" s="2">
        <v>59</v>
      </c>
      <c r="B243" s="2">
        <v>1</v>
      </c>
      <c r="C243" s="2">
        <v>1</v>
      </c>
      <c r="D243" s="2">
        <v>140</v>
      </c>
      <c r="E243" s="2">
        <v>221</v>
      </c>
      <c r="F243" s="2">
        <v>0</v>
      </c>
      <c r="G243" s="2">
        <v>1</v>
      </c>
      <c r="H243" s="2">
        <v>164</v>
      </c>
      <c r="I243" s="2">
        <v>1</v>
      </c>
      <c r="J243" s="2">
        <v>0</v>
      </c>
      <c r="K243" s="2">
        <v>2</v>
      </c>
      <c r="L243" s="2">
        <v>0</v>
      </c>
      <c r="M243" s="2">
        <v>2</v>
      </c>
      <c r="N243" s="2">
        <v>1</v>
      </c>
    </row>
    <row r="244" spans="1:14" customFormat="1" x14ac:dyDescent="0.25">
      <c r="A244" s="2">
        <v>64</v>
      </c>
      <c r="B244" s="2">
        <v>0</v>
      </c>
      <c r="C244" s="2">
        <v>0</v>
      </c>
      <c r="D244" s="2">
        <v>130</v>
      </c>
      <c r="E244" s="2">
        <v>303</v>
      </c>
      <c r="F244" s="2">
        <v>0</v>
      </c>
      <c r="G244" s="2">
        <v>1</v>
      </c>
      <c r="H244" s="2">
        <v>122</v>
      </c>
      <c r="I244" s="2">
        <v>0</v>
      </c>
      <c r="J244" s="2">
        <v>2</v>
      </c>
      <c r="K244" s="2">
        <v>1</v>
      </c>
      <c r="L244" s="2">
        <v>2</v>
      </c>
      <c r="M244" s="2">
        <v>2</v>
      </c>
      <c r="N244" s="2">
        <v>1</v>
      </c>
    </row>
    <row r="245" spans="1:14" customFormat="1" x14ac:dyDescent="0.25">
      <c r="A245" s="2">
        <v>58</v>
      </c>
      <c r="B245" s="2">
        <v>1</v>
      </c>
      <c r="C245" s="2">
        <v>0</v>
      </c>
      <c r="D245" s="2">
        <v>146</v>
      </c>
      <c r="E245" s="2">
        <v>218</v>
      </c>
      <c r="F245" s="2">
        <v>0</v>
      </c>
      <c r="G245" s="2">
        <v>1</v>
      </c>
      <c r="H245" s="2">
        <v>105</v>
      </c>
      <c r="I245" s="2">
        <v>0</v>
      </c>
      <c r="J245" s="2">
        <v>2</v>
      </c>
      <c r="K245" s="2">
        <v>1</v>
      </c>
      <c r="L245" s="2">
        <v>1</v>
      </c>
      <c r="M245" s="2">
        <v>3</v>
      </c>
      <c r="N245" s="2">
        <v>0</v>
      </c>
    </row>
    <row r="246" spans="1:14" customFormat="1" x14ac:dyDescent="0.25">
      <c r="A246" s="2">
        <v>59</v>
      </c>
      <c r="B246" s="2">
        <v>1</v>
      </c>
      <c r="C246" s="2">
        <v>0</v>
      </c>
      <c r="D246" s="2">
        <v>110</v>
      </c>
      <c r="E246" s="2">
        <v>239</v>
      </c>
      <c r="F246" s="2">
        <v>0</v>
      </c>
      <c r="G246" s="2">
        <v>0</v>
      </c>
      <c r="H246" s="2">
        <v>142</v>
      </c>
      <c r="I246" s="2">
        <v>1</v>
      </c>
      <c r="J246" s="2">
        <v>1.2</v>
      </c>
      <c r="K246" s="2">
        <v>1</v>
      </c>
      <c r="L246" s="2">
        <v>1</v>
      </c>
      <c r="M246" s="2">
        <v>3</v>
      </c>
      <c r="N246" s="2">
        <v>0</v>
      </c>
    </row>
    <row r="247" spans="1:14" customFormat="1" x14ac:dyDescent="0.25">
      <c r="A247" s="2">
        <v>35</v>
      </c>
      <c r="B247" s="2">
        <v>1</v>
      </c>
      <c r="C247" s="2">
        <v>0</v>
      </c>
      <c r="D247" s="2">
        <v>126</v>
      </c>
      <c r="E247" s="2">
        <v>282</v>
      </c>
      <c r="F247" s="2">
        <v>0</v>
      </c>
      <c r="G247" s="2">
        <v>0</v>
      </c>
      <c r="H247" s="2">
        <v>156</v>
      </c>
      <c r="I247" s="2">
        <v>1</v>
      </c>
      <c r="J247" s="2">
        <v>0</v>
      </c>
      <c r="K247" s="2">
        <v>2</v>
      </c>
      <c r="L247" s="2">
        <v>0</v>
      </c>
      <c r="M247" s="2">
        <v>3</v>
      </c>
      <c r="N247" s="2">
        <v>0</v>
      </c>
    </row>
    <row r="248" spans="1:14" customFormat="1" x14ac:dyDescent="0.25">
      <c r="A248" s="2">
        <v>63</v>
      </c>
      <c r="B248" s="2">
        <v>1</v>
      </c>
      <c r="C248" s="2">
        <v>3</v>
      </c>
      <c r="D248" s="2">
        <v>145</v>
      </c>
      <c r="E248" s="2">
        <v>233</v>
      </c>
      <c r="F248" s="2">
        <v>1</v>
      </c>
      <c r="G248" s="2">
        <v>0</v>
      </c>
      <c r="H248" s="2">
        <v>150</v>
      </c>
      <c r="I248" s="2">
        <v>0</v>
      </c>
      <c r="J248" s="2">
        <v>2.2999999999999998</v>
      </c>
      <c r="K248" s="2">
        <v>0</v>
      </c>
      <c r="L248" s="2">
        <v>0</v>
      </c>
      <c r="M248" s="2">
        <v>1</v>
      </c>
      <c r="N248" s="2">
        <v>1</v>
      </c>
    </row>
    <row r="249" spans="1:14" customFormat="1" x14ac:dyDescent="0.25">
      <c r="A249" s="2">
        <v>45</v>
      </c>
      <c r="B249" s="2">
        <v>1</v>
      </c>
      <c r="C249" s="2">
        <v>3</v>
      </c>
      <c r="D249" s="2">
        <v>110</v>
      </c>
      <c r="E249" s="2">
        <v>264</v>
      </c>
      <c r="F249" s="2">
        <v>0</v>
      </c>
      <c r="G249" s="2">
        <v>1</v>
      </c>
      <c r="H249" s="2">
        <v>132</v>
      </c>
      <c r="I249" s="2">
        <v>0</v>
      </c>
      <c r="J249" s="2">
        <v>1.2</v>
      </c>
      <c r="K249" s="2">
        <v>1</v>
      </c>
      <c r="L249" s="2">
        <v>0</v>
      </c>
      <c r="M249" s="2">
        <v>3</v>
      </c>
      <c r="N249" s="2">
        <v>0</v>
      </c>
    </row>
    <row r="250" spans="1:14" customFormat="1" x14ac:dyDescent="0.25">
      <c r="A250" s="2">
        <v>68</v>
      </c>
      <c r="B250" s="2">
        <v>1</v>
      </c>
      <c r="C250" s="2">
        <v>2</v>
      </c>
      <c r="D250" s="2">
        <v>180</v>
      </c>
      <c r="E250" s="2">
        <v>274</v>
      </c>
      <c r="F250" s="2">
        <v>1</v>
      </c>
      <c r="G250" s="2">
        <v>0</v>
      </c>
      <c r="H250" s="2">
        <v>150</v>
      </c>
      <c r="I250" s="2">
        <v>1</v>
      </c>
      <c r="J250" s="2">
        <v>1.6</v>
      </c>
      <c r="K250" s="2">
        <v>1</v>
      </c>
      <c r="L250" s="2">
        <v>0</v>
      </c>
      <c r="M250" s="2">
        <v>3</v>
      </c>
      <c r="N250" s="2">
        <v>0</v>
      </c>
    </row>
    <row r="251" spans="1:14" customFormat="1" x14ac:dyDescent="0.25">
      <c r="A251" s="2">
        <v>70</v>
      </c>
      <c r="B251" s="2">
        <v>1</v>
      </c>
      <c r="C251" s="2">
        <v>1</v>
      </c>
      <c r="D251" s="2">
        <v>156</v>
      </c>
      <c r="E251" s="2">
        <v>245</v>
      </c>
      <c r="F251" s="2">
        <v>0</v>
      </c>
      <c r="G251" s="2">
        <v>0</v>
      </c>
      <c r="H251" s="2">
        <v>143</v>
      </c>
      <c r="I251" s="2">
        <v>0</v>
      </c>
      <c r="J251" s="2">
        <v>0</v>
      </c>
      <c r="K251" s="2">
        <v>2</v>
      </c>
      <c r="L251" s="2">
        <v>0</v>
      </c>
      <c r="M251" s="2">
        <v>2</v>
      </c>
      <c r="N251" s="2">
        <v>1</v>
      </c>
    </row>
    <row r="252" spans="1:14" customFormat="1" x14ac:dyDescent="0.25">
      <c r="A252" s="2">
        <v>42</v>
      </c>
      <c r="B252" s="2">
        <v>0</v>
      </c>
      <c r="C252" s="2">
        <v>0</v>
      </c>
      <c r="D252" s="2">
        <v>102</v>
      </c>
      <c r="E252" s="2">
        <v>265</v>
      </c>
      <c r="F252" s="2">
        <v>0</v>
      </c>
      <c r="G252" s="2">
        <v>0</v>
      </c>
      <c r="H252" s="2">
        <v>122</v>
      </c>
      <c r="I252" s="2">
        <v>0</v>
      </c>
      <c r="J252" s="2">
        <v>0.6</v>
      </c>
      <c r="K252" s="2">
        <v>1</v>
      </c>
      <c r="L252" s="2">
        <v>0</v>
      </c>
      <c r="M252" s="2">
        <v>2</v>
      </c>
      <c r="N252" s="2">
        <v>1</v>
      </c>
    </row>
    <row r="253" spans="1:14" customFormat="1" x14ac:dyDescent="0.25">
      <c r="A253" s="2">
        <v>51</v>
      </c>
      <c r="B253" s="2">
        <v>0</v>
      </c>
      <c r="C253" s="2">
        <v>0</v>
      </c>
      <c r="D253" s="2">
        <v>130</v>
      </c>
      <c r="E253" s="2">
        <v>305</v>
      </c>
      <c r="F253" s="2">
        <v>0</v>
      </c>
      <c r="G253" s="2">
        <v>1</v>
      </c>
      <c r="H253" s="2">
        <v>142</v>
      </c>
      <c r="I253" s="2">
        <v>1</v>
      </c>
      <c r="J253" s="2">
        <v>1.2</v>
      </c>
      <c r="K253" s="2">
        <v>1</v>
      </c>
      <c r="L253" s="2">
        <v>0</v>
      </c>
      <c r="M253" s="2">
        <v>3</v>
      </c>
      <c r="N253" s="2">
        <v>0</v>
      </c>
    </row>
    <row r="254" spans="1:14" customFormat="1" x14ac:dyDescent="0.25">
      <c r="A254" s="2">
        <v>54</v>
      </c>
      <c r="B254" s="2">
        <v>0</v>
      </c>
      <c r="C254" s="2">
        <v>2</v>
      </c>
      <c r="D254" s="2">
        <v>160</v>
      </c>
      <c r="E254" s="2">
        <v>201</v>
      </c>
      <c r="F254" s="2">
        <v>0</v>
      </c>
      <c r="G254" s="2">
        <v>1</v>
      </c>
      <c r="H254" s="2">
        <v>163</v>
      </c>
      <c r="I254" s="2">
        <v>0</v>
      </c>
      <c r="J254" s="2">
        <v>0</v>
      </c>
      <c r="K254" s="2">
        <v>2</v>
      </c>
      <c r="L254" s="2">
        <v>1</v>
      </c>
      <c r="M254" s="2">
        <v>2</v>
      </c>
      <c r="N254" s="2">
        <v>1</v>
      </c>
    </row>
    <row r="255" spans="1:14" customFormat="1" x14ac:dyDescent="0.25">
      <c r="A255" s="2">
        <v>57</v>
      </c>
      <c r="B255" s="2">
        <v>1</v>
      </c>
      <c r="C255" s="2">
        <v>2</v>
      </c>
      <c r="D255" s="2">
        <v>150</v>
      </c>
      <c r="E255" s="2">
        <v>168</v>
      </c>
      <c r="F255" s="2">
        <v>0</v>
      </c>
      <c r="G255" s="2">
        <v>1</v>
      </c>
      <c r="H255" s="2">
        <v>174</v>
      </c>
      <c r="I255" s="2">
        <v>0</v>
      </c>
      <c r="J255" s="2">
        <v>1.6</v>
      </c>
      <c r="K255" s="2">
        <v>2</v>
      </c>
      <c r="L255" s="2">
        <v>0</v>
      </c>
      <c r="M255" s="2">
        <v>2</v>
      </c>
      <c r="N255" s="2">
        <v>1</v>
      </c>
    </row>
    <row r="256" spans="1:14" customFormat="1" x14ac:dyDescent="0.25">
      <c r="A256" s="2">
        <v>47</v>
      </c>
      <c r="B256" s="2">
        <v>1</v>
      </c>
      <c r="C256" s="2">
        <v>2</v>
      </c>
      <c r="D256" s="2">
        <v>108</v>
      </c>
      <c r="E256" s="2">
        <v>243</v>
      </c>
      <c r="F256" s="2">
        <v>0</v>
      </c>
      <c r="G256" s="2">
        <v>1</v>
      </c>
      <c r="H256" s="2">
        <v>152</v>
      </c>
      <c r="I256" s="2">
        <v>0</v>
      </c>
      <c r="J256" s="2">
        <v>0</v>
      </c>
      <c r="K256" s="2">
        <v>2</v>
      </c>
      <c r="L256" s="2">
        <v>0</v>
      </c>
      <c r="M256" s="2">
        <v>2</v>
      </c>
      <c r="N256" s="2">
        <v>0</v>
      </c>
    </row>
    <row r="257" spans="1:14" customFormat="1" x14ac:dyDescent="0.25">
      <c r="A257" s="2">
        <v>65</v>
      </c>
      <c r="B257" s="2">
        <v>0</v>
      </c>
      <c r="C257" s="2">
        <v>0</v>
      </c>
      <c r="D257" s="2">
        <v>150</v>
      </c>
      <c r="E257" s="2">
        <v>225</v>
      </c>
      <c r="F257" s="2">
        <v>0</v>
      </c>
      <c r="G257" s="2">
        <v>0</v>
      </c>
      <c r="H257" s="2">
        <v>114</v>
      </c>
      <c r="I257" s="2">
        <v>0</v>
      </c>
      <c r="J257" s="2">
        <v>1</v>
      </c>
      <c r="K257" s="2">
        <v>1</v>
      </c>
      <c r="L257" s="2">
        <v>3</v>
      </c>
      <c r="M257" s="2">
        <v>3</v>
      </c>
      <c r="N257" s="2">
        <v>0</v>
      </c>
    </row>
    <row r="258" spans="1:14" customFormat="1" x14ac:dyDescent="0.25">
      <c r="A258" s="2">
        <v>41</v>
      </c>
      <c r="B258" s="2">
        <v>0</v>
      </c>
      <c r="C258" s="2">
        <v>2</v>
      </c>
      <c r="D258" s="2">
        <v>112</v>
      </c>
      <c r="E258" s="2">
        <v>268</v>
      </c>
      <c r="F258" s="2">
        <v>0</v>
      </c>
      <c r="G258" s="2">
        <v>0</v>
      </c>
      <c r="H258" s="2">
        <v>172</v>
      </c>
      <c r="I258" s="2">
        <v>1</v>
      </c>
      <c r="J258" s="2">
        <v>0</v>
      </c>
      <c r="K258" s="2">
        <v>2</v>
      </c>
      <c r="L258" s="2">
        <v>0</v>
      </c>
      <c r="M258" s="2">
        <v>2</v>
      </c>
      <c r="N258" s="2">
        <v>1</v>
      </c>
    </row>
    <row r="259" spans="1:14" customFormat="1" x14ac:dyDescent="0.25">
      <c r="A259" s="2">
        <v>67</v>
      </c>
      <c r="B259" s="2">
        <v>1</v>
      </c>
      <c r="C259" s="2">
        <v>0</v>
      </c>
      <c r="D259" s="2">
        <v>120</v>
      </c>
      <c r="E259" s="2">
        <v>229</v>
      </c>
      <c r="F259" s="2">
        <v>0</v>
      </c>
      <c r="G259" s="2">
        <v>0</v>
      </c>
      <c r="H259" s="2">
        <v>129</v>
      </c>
      <c r="I259" s="2">
        <v>1</v>
      </c>
      <c r="J259" s="2">
        <v>2.6</v>
      </c>
      <c r="K259" s="2">
        <v>1</v>
      </c>
      <c r="L259" s="2">
        <v>2</v>
      </c>
      <c r="M259" s="2">
        <v>3</v>
      </c>
      <c r="N259" s="2">
        <v>0</v>
      </c>
    </row>
    <row r="260" spans="1:14" customFormat="1" x14ac:dyDescent="0.25">
      <c r="A260" s="2">
        <v>47</v>
      </c>
      <c r="B260" s="2">
        <v>1</v>
      </c>
      <c r="C260" s="2">
        <v>2</v>
      </c>
      <c r="D260" s="2">
        <v>130</v>
      </c>
      <c r="E260" s="2">
        <v>253</v>
      </c>
      <c r="F260" s="2">
        <v>0</v>
      </c>
      <c r="G260" s="2">
        <v>1</v>
      </c>
      <c r="H260" s="2">
        <v>179</v>
      </c>
      <c r="I260" s="2">
        <v>0</v>
      </c>
      <c r="J260" s="2">
        <v>0</v>
      </c>
      <c r="K260" s="2">
        <v>2</v>
      </c>
      <c r="L260" s="2">
        <v>0</v>
      </c>
      <c r="M260" s="2">
        <v>2</v>
      </c>
      <c r="N260" s="2">
        <v>1</v>
      </c>
    </row>
    <row r="261" spans="1:14" customFormat="1" x14ac:dyDescent="0.25">
      <c r="A261" s="2">
        <v>52</v>
      </c>
      <c r="B261" s="2">
        <v>1</v>
      </c>
      <c r="C261" s="2">
        <v>0</v>
      </c>
      <c r="D261" s="2">
        <v>112</v>
      </c>
      <c r="E261" s="2">
        <v>230</v>
      </c>
      <c r="F261" s="2">
        <v>0</v>
      </c>
      <c r="G261" s="2">
        <v>1</v>
      </c>
      <c r="H261" s="2">
        <v>160</v>
      </c>
      <c r="I261" s="2">
        <v>0</v>
      </c>
      <c r="J261" s="2">
        <v>0</v>
      </c>
      <c r="K261" s="2">
        <v>2</v>
      </c>
      <c r="L261" s="2">
        <v>1</v>
      </c>
      <c r="M261" s="2">
        <v>2</v>
      </c>
      <c r="N261" s="2">
        <v>0</v>
      </c>
    </row>
    <row r="262" spans="1:14" customFormat="1" x14ac:dyDescent="0.25">
      <c r="A262" s="2">
        <v>63</v>
      </c>
      <c r="B262" s="2">
        <v>0</v>
      </c>
      <c r="C262" s="2">
        <v>0</v>
      </c>
      <c r="D262" s="2">
        <v>150</v>
      </c>
      <c r="E262" s="2">
        <v>407</v>
      </c>
      <c r="F262" s="2">
        <v>0</v>
      </c>
      <c r="G262" s="2">
        <v>0</v>
      </c>
      <c r="H262" s="2">
        <v>154</v>
      </c>
      <c r="I262" s="2">
        <v>0</v>
      </c>
      <c r="J262" s="2">
        <v>4</v>
      </c>
      <c r="K262" s="2">
        <v>1</v>
      </c>
      <c r="L262" s="2">
        <v>3</v>
      </c>
      <c r="M262" s="2">
        <v>3</v>
      </c>
      <c r="N262" s="2">
        <v>0</v>
      </c>
    </row>
    <row r="263" spans="1:14" customFormat="1" x14ac:dyDescent="0.25">
      <c r="A263" s="2">
        <v>49</v>
      </c>
      <c r="B263" s="2">
        <v>0</v>
      </c>
      <c r="C263" s="2">
        <v>1</v>
      </c>
      <c r="D263" s="2">
        <v>134</v>
      </c>
      <c r="E263" s="2">
        <v>271</v>
      </c>
      <c r="F263" s="2">
        <v>0</v>
      </c>
      <c r="G263" s="2">
        <v>1</v>
      </c>
      <c r="H263" s="2">
        <v>162</v>
      </c>
      <c r="I263" s="2">
        <v>0</v>
      </c>
      <c r="J263" s="2">
        <v>0</v>
      </c>
      <c r="K263" s="2">
        <v>1</v>
      </c>
      <c r="L263" s="2">
        <v>0</v>
      </c>
      <c r="M263" s="2">
        <v>2</v>
      </c>
      <c r="N263" s="2">
        <v>1</v>
      </c>
    </row>
    <row r="264" spans="1:14" customFormat="1" x14ac:dyDescent="0.25">
      <c r="A264" s="2">
        <v>69</v>
      </c>
      <c r="B264" s="2">
        <v>1</v>
      </c>
      <c r="C264" s="2">
        <v>2</v>
      </c>
      <c r="D264" s="2">
        <v>140</v>
      </c>
      <c r="E264" s="2">
        <v>254</v>
      </c>
      <c r="F264" s="2">
        <v>0</v>
      </c>
      <c r="G264" s="2">
        <v>0</v>
      </c>
      <c r="H264" s="2">
        <v>146</v>
      </c>
      <c r="I264" s="2">
        <v>0</v>
      </c>
      <c r="J264" s="2">
        <v>2</v>
      </c>
      <c r="K264" s="2">
        <v>1</v>
      </c>
      <c r="L264" s="2">
        <v>3</v>
      </c>
      <c r="M264" s="2">
        <v>3</v>
      </c>
      <c r="N264" s="2">
        <v>0</v>
      </c>
    </row>
    <row r="265" spans="1:14" customFormat="1" x14ac:dyDescent="0.25">
      <c r="A265" s="2">
        <v>58</v>
      </c>
      <c r="B265" s="2">
        <v>0</v>
      </c>
      <c r="C265" s="2">
        <v>0</v>
      </c>
      <c r="D265" s="2">
        <v>130</v>
      </c>
      <c r="E265" s="2">
        <v>197</v>
      </c>
      <c r="F265" s="2">
        <v>0</v>
      </c>
      <c r="G265" s="2">
        <v>1</v>
      </c>
      <c r="H265" s="2">
        <v>131</v>
      </c>
      <c r="I265" s="2">
        <v>0</v>
      </c>
      <c r="J265" s="2">
        <v>0.6</v>
      </c>
      <c r="K265" s="2">
        <v>1</v>
      </c>
      <c r="L265" s="2">
        <v>0</v>
      </c>
      <c r="M265" s="2">
        <v>2</v>
      </c>
      <c r="N265" s="2">
        <v>1</v>
      </c>
    </row>
    <row r="266" spans="1:14" customFormat="1" x14ac:dyDescent="0.25">
      <c r="A266" s="2">
        <v>41</v>
      </c>
      <c r="B266" s="2">
        <v>1</v>
      </c>
      <c r="C266" s="2">
        <v>2</v>
      </c>
      <c r="D266" s="2">
        <v>130</v>
      </c>
      <c r="E266" s="2">
        <v>214</v>
      </c>
      <c r="F266" s="2">
        <v>0</v>
      </c>
      <c r="G266" s="2">
        <v>0</v>
      </c>
      <c r="H266" s="2">
        <v>168</v>
      </c>
      <c r="I266" s="2">
        <v>0</v>
      </c>
      <c r="J266" s="2">
        <v>2</v>
      </c>
      <c r="K266" s="2">
        <v>1</v>
      </c>
      <c r="L266" s="2">
        <v>0</v>
      </c>
      <c r="M266" s="2">
        <v>2</v>
      </c>
      <c r="N266" s="2">
        <v>1</v>
      </c>
    </row>
    <row r="267" spans="1:14" customFormat="1" x14ac:dyDescent="0.25">
      <c r="A267" s="2">
        <v>58</v>
      </c>
      <c r="B267" s="2">
        <v>1</v>
      </c>
      <c r="C267" s="2">
        <v>0</v>
      </c>
      <c r="D267" s="2">
        <v>128</v>
      </c>
      <c r="E267" s="2">
        <v>216</v>
      </c>
      <c r="F267" s="2">
        <v>0</v>
      </c>
      <c r="G267" s="2">
        <v>0</v>
      </c>
      <c r="H267" s="2">
        <v>131</v>
      </c>
      <c r="I267" s="2">
        <v>1</v>
      </c>
      <c r="J267" s="2">
        <v>2.2000000000000002</v>
      </c>
      <c r="K267" s="2">
        <v>1</v>
      </c>
      <c r="L267" s="2">
        <v>3</v>
      </c>
      <c r="M267" s="2">
        <v>3</v>
      </c>
      <c r="N267" s="2">
        <v>0</v>
      </c>
    </row>
    <row r="268" spans="1:14" customFormat="1" x14ac:dyDescent="0.25">
      <c r="A268" s="2">
        <v>59</v>
      </c>
      <c r="B268" s="2">
        <v>1</v>
      </c>
      <c r="C268" s="2">
        <v>0</v>
      </c>
      <c r="D268" s="2">
        <v>135</v>
      </c>
      <c r="E268" s="2">
        <v>234</v>
      </c>
      <c r="F268" s="2">
        <v>0</v>
      </c>
      <c r="G268" s="2">
        <v>1</v>
      </c>
      <c r="H268" s="2">
        <v>161</v>
      </c>
      <c r="I268" s="2">
        <v>0</v>
      </c>
      <c r="J268" s="2">
        <v>0.5</v>
      </c>
      <c r="K268" s="2">
        <v>1</v>
      </c>
      <c r="L268" s="2">
        <v>0</v>
      </c>
      <c r="M268" s="2">
        <v>3</v>
      </c>
      <c r="N268" s="2">
        <v>1</v>
      </c>
    </row>
    <row r="269" spans="1:14" customFormat="1" x14ac:dyDescent="0.25">
      <c r="A269" s="2">
        <v>54</v>
      </c>
      <c r="B269" s="2">
        <v>1</v>
      </c>
      <c r="C269" s="2">
        <v>0</v>
      </c>
      <c r="D269" s="2">
        <v>140</v>
      </c>
      <c r="E269" s="2">
        <v>239</v>
      </c>
      <c r="F269" s="2">
        <v>0</v>
      </c>
      <c r="G269" s="2">
        <v>1</v>
      </c>
      <c r="H269" s="2">
        <v>160</v>
      </c>
      <c r="I269" s="2">
        <v>0</v>
      </c>
      <c r="J269" s="2">
        <v>1.2</v>
      </c>
      <c r="K269" s="2">
        <v>2</v>
      </c>
      <c r="L269" s="2">
        <v>0</v>
      </c>
      <c r="M269" s="2">
        <v>2</v>
      </c>
      <c r="N269" s="2">
        <v>1</v>
      </c>
    </row>
    <row r="270" spans="1:14" customFormat="1" x14ac:dyDescent="0.25">
      <c r="A270" s="2">
        <v>44</v>
      </c>
      <c r="B270" s="2">
        <v>1</v>
      </c>
      <c r="C270" s="2">
        <v>0</v>
      </c>
      <c r="D270" s="2">
        <v>112</v>
      </c>
      <c r="E270" s="2">
        <v>290</v>
      </c>
      <c r="F270" s="2">
        <v>0</v>
      </c>
      <c r="G270" s="2">
        <v>0</v>
      </c>
      <c r="H270" s="2">
        <v>153</v>
      </c>
      <c r="I270" s="2">
        <v>0</v>
      </c>
      <c r="J270" s="2">
        <v>0</v>
      </c>
      <c r="K270" s="2">
        <v>2</v>
      </c>
      <c r="L270" s="2">
        <v>1</v>
      </c>
      <c r="M270" s="2">
        <v>2</v>
      </c>
      <c r="N270" s="2">
        <v>0</v>
      </c>
    </row>
    <row r="271" spans="1:14" customFormat="1" x14ac:dyDescent="0.25">
      <c r="A271" s="2">
        <v>58</v>
      </c>
      <c r="B271" s="2">
        <v>1</v>
      </c>
      <c r="C271" s="2">
        <v>1</v>
      </c>
      <c r="D271" s="2">
        <v>125</v>
      </c>
      <c r="E271" s="2">
        <v>220</v>
      </c>
      <c r="F271" s="2">
        <v>0</v>
      </c>
      <c r="G271" s="2">
        <v>1</v>
      </c>
      <c r="H271" s="2">
        <v>144</v>
      </c>
      <c r="I271" s="2">
        <v>0</v>
      </c>
      <c r="J271" s="2">
        <v>0.4</v>
      </c>
      <c r="K271" s="2">
        <v>1</v>
      </c>
      <c r="L271" s="2">
        <v>4</v>
      </c>
      <c r="M271" s="2">
        <v>3</v>
      </c>
      <c r="N271" s="2">
        <v>1</v>
      </c>
    </row>
    <row r="272" spans="1:14" customFormat="1" x14ac:dyDescent="0.25">
      <c r="A272" s="2">
        <v>67</v>
      </c>
      <c r="B272" s="2">
        <v>0</v>
      </c>
      <c r="C272" s="2">
        <v>2</v>
      </c>
      <c r="D272" s="2">
        <v>152</v>
      </c>
      <c r="E272" s="2">
        <v>277</v>
      </c>
      <c r="F272" s="2">
        <v>0</v>
      </c>
      <c r="G272" s="2">
        <v>1</v>
      </c>
      <c r="H272" s="2">
        <v>172</v>
      </c>
      <c r="I272" s="2">
        <v>0</v>
      </c>
      <c r="J272" s="2">
        <v>0</v>
      </c>
      <c r="K272" s="2">
        <v>2</v>
      </c>
      <c r="L272" s="2">
        <v>1</v>
      </c>
      <c r="M272" s="2">
        <v>2</v>
      </c>
      <c r="N272" s="2">
        <v>1</v>
      </c>
    </row>
    <row r="273" spans="1:14" customFormat="1" x14ac:dyDescent="0.25">
      <c r="A273" s="2">
        <v>59</v>
      </c>
      <c r="B273" s="2">
        <v>1</v>
      </c>
      <c r="C273" s="2">
        <v>3</v>
      </c>
      <c r="D273" s="2">
        <v>178</v>
      </c>
      <c r="E273" s="2">
        <v>270</v>
      </c>
      <c r="F273" s="2">
        <v>0</v>
      </c>
      <c r="G273" s="2">
        <v>0</v>
      </c>
      <c r="H273" s="2">
        <v>145</v>
      </c>
      <c r="I273" s="2">
        <v>0</v>
      </c>
      <c r="J273" s="2">
        <v>4.2</v>
      </c>
      <c r="K273" s="2">
        <v>0</v>
      </c>
      <c r="L273" s="2">
        <v>0</v>
      </c>
      <c r="M273" s="2">
        <v>3</v>
      </c>
      <c r="N273" s="2">
        <v>1</v>
      </c>
    </row>
    <row r="274" spans="1:14" customFormat="1" x14ac:dyDescent="0.25">
      <c r="A274" s="2">
        <v>60</v>
      </c>
      <c r="B274" s="2">
        <v>0</v>
      </c>
      <c r="C274" s="2">
        <v>0</v>
      </c>
      <c r="D274" s="2">
        <v>150</v>
      </c>
      <c r="E274" s="2">
        <v>258</v>
      </c>
      <c r="F274" s="2">
        <v>0</v>
      </c>
      <c r="G274" s="2">
        <v>0</v>
      </c>
      <c r="H274" s="2">
        <v>157</v>
      </c>
      <c r="I274" s="2">
        <v>0</v>
      </c>
      <c r="J274" s="2">
        <v>2.6</v>
      </c>
      <c r="K274" s="2">
        <v>1</v>
      </c>
      <c r="L274" s="2">
        <v>2</v>
      </c>
      <c r="M274" s="2">
        <v>3</v>
      </c>
      <c r="N274" s="2">
        <v>0</v>
      </c>
    </row>
    <row r="275" spans="1:14" customFormat="1" x14ac:dyDescent="0.25">
      <c r="A275" s="2">
        <v>53</v>
      </c>
      <c r="B275" s="2">
        <v>0</v>
      </c>
      <c r="C275" s="2">
        <v>0</v>
      </c>
      <c r="D275" s="2">
        <v>138</v>
      </c>
      <c r="E275" s="2">
        <v>234</v>
      </c>
      <c r="F275" s="2">
        <v>0</v>
      </c>
      <c r="G275" s="2">
        <v>0</v>
      </c>
      <c r="H275" s="2">
        <v>160</v>
      </c>
      <c r="I275" s="2">
        <v>0</v>
      </c>
      <c r="J275" s="2">
        <v>0</v>
      </c>
      <c r="K275" s="2">
        <v>2</v>
      </c>
      <c r="L275" s="2">
        <v>0</v>
      </c>
      <c r="M275" s="2">
        <v>2</v>
      </c>
      <c r="N275" s="2">
        <v>1</v>
      </c>
    </row>
    <row r="276" spans="1:14" customFormat="1" x14ac:dyDescent="0.25">
      <c r="A276" s="2">
        <v>50</v>
      </c>
      <c r="B276" s="2">
        <v>0</v>
      </c>
      <c r="C276" s="2">
        <v>2</v>
      </c>
      <c r="D276" s="2">
        <v>120</v>
      </c>
      <c r="E276" s="2">
        <v>219</v>
      </c>
      <c r="F276" s="2">
        <v>0</v>
      </c>
      <c r="G276" s="2">
        <v>1</v>
      </c>
      <c r="H276" s="2">
        <v>158</v>
      </c>
      <c r="I276" s="2">
        <v>0</v>
      </c>
      <c r="J276" s="2">
        <v>1.6</v>
      </c>
      <c r="K276" s="2">
        <v>1</v>
      </c>
      <c r="L276" s="2">
        <v>0</v>
      </c>
      <c r="M276" s="2">
        <v>2</v>
      </c>
      <c r="N276" s="2">
        <v>1</v>
      </c>
    </row>
    <row r="277" spans="1:14" customFormat="1" x14ac:dyDescent="0.25">
      <c r="A277" s="2">
        <v>44</v>
      </c>
      <c r="B277" s="2">
        <v>1</v>
      </c>
      <c r="C277" s="2">
        <v>2</v>
      </c>
      <c r="D277" s="2">
        <v>140</v>
      </c>
      <c r="E277" s="2">
        <v>235</v>
      </c>
      <c r="F277" s="2">
        <v>0</v>
      </c>
      <c r="G277" s="2">
        <v>0</v>
      </c>
      <c r="H277" s="2">
        <v>180</v>
      </c>
      <c r="I277" s="2">
        <v>0</v>
      </c>
      <c r="J277" s="2">
        <v>0</v>
      </c>
      <c r="K277" s="2">
        <v>2</v>
      </c>
      <c r="L277" s="2">
        <v>0</v>
      </c>
      <c r="M277" s="2">
        <v>2</v>
      </c>
      <c r="N277" s="2">
        <v>1</v>
      </c>
    </row>
    <row r="278" spans="1:14" customFormat="1" x14ac:dyDescent="0.25">
      <c r="A278" s="2">
        <v>68</v>
      </c>
      <c r="B278" s="2">
        <v>1</v>
      </c>
      <c r="C278" s="2">
        <v>2</v>
      </c>
      <c r="D278" s="2">
        <v>118</v>
      </c>
      <c r="E278" s="2">
        <v>277</v>
      </c>
      <c r="F278" s="2">
        <v>0</v>
      </c>
      <c r="G278" s="2">
        <v>1</v>
      </c>
      <c r="H278" s="2">
        <v>151</v>
      </c>
      <c r="I278" s="2">
        <v>0</v>
      </c>
      <c r="J278" s="2">
        <v>1</v>
      </c>
      <c r="K278" s="2">
        <v>2</v>
      </c>
      <c r="L278" s="2">
        <v>1</v>
      </c>
      <c r="M278" s="2">
        <v>3</v>
      </c>
      <c r="N278" s="2">
        <v>1</v>
      </c>
    </row>
    <row r="279" spans="1:14" customFormat="1" x14ac:dyDescent="0.25">
      <c r="A279" s="2">
        <v>67</v>
      </c>
      <c r="B279" s="2">
        <v>1</v>
      </c>
      <c r="C279" s="2">
        <v>0</v>
      </c>
      <c r="D279" s="2">
        <v>125</v>
      </c>
      <c r="E279" s="2">
        <v>254</v>
      </c>
      <c r="F279" s="2">
        <v>1</v>
      </c>
      <c r="G279" s="2">
        <v>1</v>
      </c>
      <c r="H279" s="2">
        <v>163</v>
      </c>
      <c r="I279" s="2">
        <v>0</v>
      </c>
      <c r="J279" s="2">
        <v>0.2</v>
      </c>
      <c r="K279" s="2">
        <v>1</v>
      </c>
      <c r="L279" s="2">
        <v>2</v>
      </c>
      <c r="M279" s="2">
        <v>3</v>
      </c>
      <c r="N279" s="2">
        <v>0</v>
      </c>
    </row>
    <row r="280" spans="1:14" customFormat="1" x14ac:dyDescent="0.25">
      <c r="A280" s="2">
        <v>50</v>
      </c>
      <c r="B280" s="2">
        <v>0</v>
      </c>
      <c r="C280" s="2">
        <v>0</v>
      </c>
      <c r="D280" s="2">
        <v>110</v>
      </c>
      <c r="E280" s="2">
        <v>254</v>
      </c>
      <c r="F280" s="2">
        <v>0</v>
      </c>
      <c r="G280" s="2">
        <v>0</v>
      </c>
      <c r="H280" s="2">
        <v>159</v>
      </c>
      <c r="I280" s="2">
        <v>0</v>
      </c>
      <c r="J280" s="2">
        <v>0</v>
      </c>
      <c r="K280" s="2">
        <v>2</v>
      </c>
      <c r="L280" s="2">
        <v>0</v>
      </c>
      <c r="M280" s="2">
        <v>2</v>
      </c>
      <c r="N280" s="2">
        <v>1</v>
      </c>
    </row>
    <row r="281" spans="1:14" customFormat="1" x14ac:dyDescent="0.25">
      <c r="A281" s="2">
        <v>54</v>
      </c>
      <c r="B281" s="2">
        <v>0</v>
      </c>
      <c r="C281" s="2">
        <v>2</v>
      </c>
      <c r="D281" s="2">
        <v>135</v>
      </c>
      <c r="E281" s="2">
        <v>304</v>
      </c>
      <c r="F281" s="2">
        <v>1</v>
      </c>
      <c r="G281" s="2">
        <v>1</v>
      </c>
      <c r="H281" s="2">
        <v>170</v>
      </c>
      <c r="I281" s="2">
        <v>0</v>
      </c>
      <c r="J281" s="2">
        <v>0</v>
      </c>
      <c r="K281" s="2">
        <v>2</v>
      </c>
      <c r="L281" s="2">
        <v>0</v>
      </c>
      <c r="M281" s="2">
        <v>2</v>
      </c>
      <c r="N281" s="2">
        <v>1</v>
      </c>
    </row>
    <row r="282" spans="1:14" customFormat="1" x14ac:dyDescent="0.25">
      <c r="A282" s="2">
        <v>46</v>
      </c>
      <c r="B282" s="2">
        <v>1</v>
      </c>
      <c r="C282" s="2">
        <v>1</v>
      </c>
      <c r="D282" s="2">
        <v>101</v>
      </c>
      <c r="E282" s="2">
        <v>197</v>
      </c>
      <c r="F282" s="2">
        <v>1</v>
      </c>
      <c r="G282" s="2">
        <v>1</v>
      </c>
      <c r="H282" s="2">
        <v>156</v>
      </c>
      <c r="I282" s="2">
        <v>0</v>
      </c>
      <c r="J282" s="2">
        <v>0</v>
      </c>
      <c r="K282" s="2">
        <v>2</v>
      </c>
      <c r="L282" s="2">
        <v>0</v>
      </c>
      <c r="M282" s="2">
        <v>3</v>
      </c>
      <c r="N282" s="2">
        <v>1</v>
      </c>
    </row>
    <row r="283" spans="1:14" customFormat="1" x14ac:dyDescent="0.25">
      <c r="A283" s="2">
        <v>55</v>
      </c>
      <c r="B283" s="2">
        <v>1</v>
      </c>
      <c r="C283" s="2">
        <v>1</v>
      </c>
      <c r="D283" s="2">
        <v>130</v>
      </c>
      <c r="E283" s="2">
        <v>262</v>
      </c>
      <c r="F283" s="2">
        <v>0</v>
      </c>
      <c r="G283" s="2">
        <v>1</v>
      </c>
      <c r="H283" s="2">
        <v>155</v>
      </c>
      <c r="I283" s="2">
        <v>0</v>
      </c>
      <c r="J283" s="2">
        <v>0</v>
      </c>
      <c r="K283" s="2">
        <v>2</v>
      </c>
      <c r="L283" s="2">
        <v>0</v>
      </c>
      <c r="M283" s="2">
        <v>2</v>
      </c>
      <c r="N283" s="2">
        <v>1</v>
      </c>
    </row>
    <row r="284" spans="1:14" customFormat="1" x14ac:dyDescent="0.25">
      <c r="A284" s="2">
        <v>64</v>
      </c>
      <c r="B284" s="2">
        <v>1</v>
      </c>
      <c r="C284" s="2">
        <v>0</v>
      </c>
      <c r="D284" s="2">
        <v>145</v>
      </c>
      <c r="E284" s="2">
        <v>212</v>
      </c>
      <c r="F284" s="2">
        <v>0</v>
      </c>
      <c r="G284" s="2">
        <v>0</v>
      </c>
      <c r="H284" s="2">
        <v>132</v>
      </c>
      <c r="I284" s="2">
        <v>0</v>
      </c>
      <c r="J284" s="2">
        <v>2</v>
      </c>
      <c r="K284" s="2">
        <v>1</v>
      </c>
      <c r="L284" s="2">
        <v>2</v>
      </c>
      <c r="M284" s="2">
        <v>1</v>
      </c>
      <c r="N284" s="2">
        <v>0</v>
      </c>
    </row>
    <row r="285" spans="1:14" customFormat="1" x14ac:dyDescent="0.25">
      <c r="A285" s="2">
        <v>63</v>
      </c>
      <c r="B285" s="2">
        <v>0</v>
      </c>
      <c r="C285" s="2">
        <v>1</v>
      </c>
      <c r="D285" s="2">
        <v>140</v>
      </c>
      <c r="E285" s="2">
        <v>195</v>
      </c>
      <c r="F285" s="2">
        <v>0</v>
      </c>
      <c r="G285" s="2">
        <v>1</v>
      </c>
      <c r="H285" s="2">
        <v>179</v>
      </c>
      <c r="I285" s="2">
        <v>0</v>
      </c>
      <c r="J285" s="2">
        <v>0</v>
      </c>
      <c r="K285" s="2">
        <v>2</v>
      </c>
      <c r="L285" s="2">
        <v>2</v>
      </c>
      <c r="M285" s="2">
        <v>2</v>
      </c>
      <c r="N285" s="2">
        <v>1</v>
      </c>
    </row>
    <row r="286" spans="1:14" customFormat="1" x14ac:dyDescent="0.25">
      <c r="A286" s="2">
        <v>66</v>
      </c>
      <c r="B286" s="2">
        <v>1</v>
      </c>
      <c r="C286" s="2">
        <v>0</v>
      </c>
      <c r="D286" s="2">
        <v>112</v>
      </c>
      <c r="E286" s="2">
        <v>212</v>
      </c>
      <c r="F286" s="2">
        <v>0</v>
      </c>
      <c r="G286" s="2">
        <v>0</v>
      </c>
      <c r="H286" s="2">
        <v>132</v>
      </c>
      <c r="I286" s="2">
        <v>1</v>
      </c>
      <c r="J286" s="2">
        <v>0.1</v>
      </c>
      <c r="K286" s="2">
        <v>2</v>
      </c>
      <c r="L286" s="2">
        <v>1</v>
      </c>
      <c r="M286" s="2">
        <v>2</v>
      </c>
      <c r="N286" s="2">
        <v>0</v>
      </c>
    </row>
    <row r="287" spans="1:14" customFormat="1" x14ac:dyDescent="0.25">
      <c r="A287" s="2">
        <v>55</v>
      </c>
      <c r="B287" s="2">
        <v>0</v>
      </c>
      <c r="C287" s="2">
        <v>0</v>
      </c>
      <c r="D287" s="2">
        <v>128</v>
      </c>
      <c r="E287" s="2">
        <v>205</v>
      </c>
      <c r="F287" s="2">
        <v>0</v>
      </c>
      <c r="G287" s="2">
        <v>2</v>
      </c>
      <c r="H287" s="2">
        <v>130</v>
      </c>
      <c r="I287" s="2">
        <v>1</v>
      </c>
      <c r="J287" s="2">
        <v>2</v>
      </c>
      <c r="K287" s="2">
        <v>1</v>
      </c>
      <c r="L287" s="2">
        <v>1</v>
      </c>
      <c r="M287" s="2">
        <v>3</v>
      </c>
      <c r="N287" s="2">
        <v>0</v>
      </c>
    </row>
    <row r="288" spans="1:14" customFormat="1" x14ac:dyDescent="0.25">
      <c r="A288" s="2">
        <v>43</v>
      </c>
      <c r="B288" s="2">
        <v>1</v>
      </c>
      <c r="C288" s="2">
        <v>0</v>
      </c>
      <c r="D288" s="2">
        <v>115</v>
      </c>
      <c r="E288" s="2">
        <v>303</v>
      </c>
      <c r="F288" s="2">
        <v>0</v>
      </c>
      <c r="G288" s="2">
        <v>1</v>
      </c>
      <c r="H288" s="2">
        <v>181</v>
      </c>
      <c r="I288" s="2">
        <v>0</v>
      </c>
      <c r="J288" s="2">
        <v>1.2</v>
      </c>
      <c r="K288" s="2">
        <v>1</v>
      </c>
      <c r="L288" s="2">
        <v>0</v>
      </c>
      <c r="M288" s="2">
        <v>2</v>
      </c>
      <c r="N288" s="2">
        <v>1</v>
      </c>
    </row>
    <row r="289" spans="1:14" customFormat="1" x14ac:dyDescent="0.25">
      <c r="A289" s="2">
        <v>69</v>
      </c>
      <c r="B289" s="2">
        <v>0</v>
      </c>
      <c r="C289" s="2">
        <v>3</v>
      </c>
      <c r="D289" s="2">
        <v>140</v>
      </c>
      <c r="E289" s="2">
        <v>239</v>
      </c>
      <c r="F289" s="2">
        <v>0</v>
      </c>
      <c r="G289" s="2">
        <v>1</v>
      </c>
      <c r="H289" s="2">
        <v>151</v>
      </c>
      <c r="I289" s="2">
        <v>0</v>
      </c>
      <c r="J289" s="2">
        <v>1.8</v>
      </c>
      <c r="K289" s="2">
        <v>2</v>
      </c>
      <c r="L289" s="2">
        <v>2</v>
      </c>
      <c r="M289" s="2">
        <v>2</v>
      </c>
      <c r="N289" s="2">
        <v>1</v>
      </c>
    </row>
    <row r="290" spans="1:14" customFormat="1" x14ac:dyDescent="0.25">
      <c r="A290" s="2">
        <v>65</v>
      </c>
      <c r="B290" s="2">
        <v>1</v>
      </c>
      <c r="C290" s="2">
        <v>3</v>
      </c>
      <c r="D290" s="2">
        <v>138</v>
      </c>
      <c r="E290" s="2">
        <v>282</v>
      </c>
      <c r="F290" s="2">
        <v>1</v>
      </c>
      <c r="G290" s="2">
        <v>0</v>
      </c>
      <c r="H290" s="2">
        <v>174</v>
      </c>
      <c r="I290" s="2">
        <v>0</v>
      </c>
      <c r="J290" s="2">
        <v>1.4</v>
      </c>
      <c r="K290" s="2">
        <v>1</v>
      </c>
      <c r="L290" s="2">
        <v>1</v>
      </c>
      <c r="M290" s="2">
        <v>2</v>
      </c>
      <c r="N290" s="2">
        <v>0</v>
      </c>
    </row>
    <row r="291" spans="1:14" customFormat="1" x14ac:dyDescent="0.25">
      <c r="A291" s="2">
        <v>61</v>
      </c>
      <c r="B291" s="2">
        <v>1</v>
      </c>
      <c r="C291" s="2">
        <v>0</v>
      </c>
      <c r="D291" s="2">
        <v>138</v>
      </c>
      <c r="E291" s="2">
        <v>166</v>
      </c>
      <c r="F291" s="2">
        <v>0</v>
      </c>
      <c r="G291" s="2">
        <v>0</v>
      </c>
      <c r="H291" s="2">
        <v>125</v>
      </c>
      <c r="I291" s="2">
        <v>1</v>
      </c>
      <c r="J291" s="2">
        <v>3.6</v>
      </c>
      <c r="K291" s="2">
        <v>1</v>
      </c>
      <c r="L291" s="2">
        <v>1</v>
      </c>
      <c r="M291" s="2">
        <v>2</v>
      </c>
      <c r="N291" s="2">
        <v>0</v>
      </c>
    </row>
    <row r="292" spans="1:14" customFormat="1" x14ac:dyDescent="0.25">
      <c r="A292" s="2">
        <v>65</v>
      </c>
      <c r="B292" s="2">
        <v>1</v>
      </c>
      <c r="C292" s="2">
        <v>0</v>
      </c>
      <c r="D292" s="2">
        <v>120</v>
      </c>
      <c r="E292" s="2">
        <v>177</v>
      </c>
      <c r="F292" s="2">
        <v>0</v>
      </c>
      <c r="G292" s="2">
        <v>1</v>
      </c>
      <c r="H292" s="2">
        <v>140</v>
      </c>
      <c r="I292" s="2">
        <v>0</v>
      </c>
      <c r="J292" s="2">
        <v>0.4</v>
      </c>
      <c r="K292" s="2">
        <v>2</v>
      </c>
      <c r="L292" s="2">
        <v>0</v>
      </c>
      <c r="M292" s="2">
        <v>3</v>
      </c>
      <c r="N292" s="2">
        <v>1</v>
      </c>
    </row>
    <row r="293" spans="1:14" customFormat="1" x14ac:dyDescent="0.25">
      <c r="A293" s="2">
        <v>66</v>
      </c>
      <c r="B293" s="2">
        <v>0</v>
      </c>
      <c r="C293" s="2">
        <v>3</v>
      </c>
      <c r="D293" s="2">
        <v>150</v>
      </c>
      <c r="E293" s="2">
        <v>226</v>
      </c>
      <c r="F293" s="2">
        <v>0</v>
      </c>
      <c r="G293" s="2">
        <v>1</v>
      </c>
      <c r="H293" s="2">
        <v>114</v>
      </c>
      <c r="I293" s="2">
        <v>0</v>
      </c>
      <c r="J293" s="2">
        <v>2.6</v>
      </c>
      <c r="K293" s="2">
        <v>0</v>
      </c>
      <c r="L293" s="2">
        <v>0</v>
      </c>
      <c r="M293" s="2">
        <v>2</v>
      </c>
      <c r="N293" s="2">
        <v>1</v>
      </c>
    </row>
    <row r="294" spans="1:14" customFormat="1" x14ac:dyDescent="0.25">
      <c r="A294" s="2">
        <v>55</v>
      </c>
      <c r="B294" s="2">
        <v>0</v>
      </c>
      <c r="C294" s="2">
        <v>1</v>
      </c>
      <c r="D294" s="2">
        <v>135</v>
      </c>
      <c r="E294" s="2">
        <v>250</v>
      </c>
      <c r="F294" s="2">
        <v>0</v>
      </c>
      <c r="G294" s="2">
        <v>0</v>
      </c>
      <c r="H294" s="2">
        <v>161</v>
      </c>
      <c r="I294" s="2">
        <v>0</v>
      </c>
      <c r="J294" s="2">
        <v>1.4</v>
      </c>
      <c r="K294" s="2">
        <v>1</v>
      </c>
      <c r="L294" s="2">
        <v>0</v>
      </c>
      <c r="M294" s="2">
        <v>2</v>
      </c>
      <c r="N294" s="2">
        <v>1</v>
      </c>
    </row>
    <row r="295" spans="1:14" customFormat="1" x14ac:dyDescent="0.25">
      <c r="A295" s="2">
        <v>39</v>
      </c>
      <c r="B295" s="2">
        <v>1</v>
      </c>
      <c r="C295" s="2">
        <v>0</v>
      </c>
      <c r="D295" s="2">
        <v>118</v>
      </c>
      <c r="E295" s="2">
        <v>219</v>
      </c>
      <c r="F295" s="2">
        <v>0</v>
      </c>
      <c r="G295" s="2">
        <v>1</v>
      </c>
      <c r="H295" s="2">
        <v>140</v>
      </c>
      <c r="I295" s="2">
        <v>0</v>
      </c>
      <c r="J295" s="2">
        <v>1.2</v>
      </c>
      <c r="K295" s="2">
        <v>1</v>
      </c>
      <c r="L295" s="2">
        <v>0</v>
      </c>
      <c r="M295" s="2">
        <v>3</v>
      </c>
      <c r="N295" s="2">
        <v>0</v>
      </c>
    </row>
    <row r="296" spans="1:14" customFormat="1" x14ac:dyDescent="0.25">
      <c r="A296" s="2">
        <v>60</v>
      </c>
      <c r="B296" s="2">
        <v>0</v>
      </c>
      <c r="C296" s="2">
        <v>2</v>
      </c>
      <c r="D296" s="2">
        <v>120</v>
      </c>
      <c r="E296" s="2">
        <v>178</v>
      </c>
      <c r="F296" s="2">
        <v>1</v>
      </c>
      <c r="G296" s="2">
        <v>1</v>
      </c>
      <c r="H296" s="2">
        <v>96</v>
      </c>
      <c r="I296" s="2">
        <v>0</v>
      </c>
      <c r="J296" s="2">
        <v>0</v>
      </c>
      <c r="K296" s="2">
        <v>2</v>
      </c>
      <c r="L296" s="2">
        <v>0</v>
      </c>
      <c r="M296" s="2">
        <v>2</v>
      </c>
      <c r="N296" s="2">
        <v>1</v>
      </c>
    </row>
    <row r="297" spans="1:14" customFormat="1" x14ac:dyDescent="0.25">
      <c r="A297" s="2">
        <v>52</v>
      </c>
      <c r="B297" s="2">
        <v>1</v>
      </c>
      <c r="C297" s="2">
        <v>0</v>
      </c>
      <c r="D297" s="2">
        <v>108</v>
      </c>
      <c r="E297" s="2">
        <v>233</v>
      </c>
      <c r="F297" s="2">
        <v>1</v>
      </c>
      <c r="G297" s="2">
        <v>1</v>
      </c>
      <c r="H297" s="2">
        <v>147</v>
      </c>
      <c r="I297" s="2">
        <v>0</v>
      </c>
      <c r="J297" s="2">
        <v>0.1</v>
      </c>
      <c r="K297" s="2">
        <v>2</v>
      </c>
      <c r="L297" s="2">
        <v>3</v>
      </c>
      <c r="M297" s="2">
        <v>3</v>
      </c>
      <c r="N297" s="2">
        <v>1</v>
      </c>
    </row>
    <row r="298" spans="1:14" customFormat="1" x14ac:dyDescent="0.25">
      <c r="A298" s="2">
        <v>64</v>
      </c>
      <c r="B298" s="2">
        <v>1</v>
      </c>
      <c r="C298" s="2">
        <v>2</v>
      </c>
      <c r="D298" s="2">
        <v>140</v>
      </c>
      <c r="E298" s="2">
        <v>335</v>
      </c>
      <c r="F298" s="2">
        <v>0</v>
      </c>
      <c r="G298" s="2">
        <v>1</v>
      </c>
      <c r="H298" s="2">
        <v>158</v>
      </c>
      <c r="I298" s="2">
        <v>0</v>
      </c>
      <c r="J298" s="2">
        <v>0</v>
      </c>
      <c r="K298" s="2">
        <v>2</v>
      </c>
      <c r="L298" s="2">
        <v>0</v>
      </c>
      <c r="M298" s="2">
        <v>2</v>
      </c>
      <c r="N298" s="2">
        <v>0</v>
      </c>
    </row>
    <row r="299" spans="1:14" customFormat="1" x14ac:dyDescent="0.25">
      <c r="A299" s="2">
        <v>68</v>
      </c>
      <c r="B299" s="2">
        <v>0</v>
      </c>
      <c r="C299" s="2">
        <v>2</v>
      </c>
      <c r="D299" s="2">
        <v>120</v>
      </c>
      <c r="E299" s="2">
        <v>211</v>
      </c>
      <c r="F299" s="2">
        <v>0</v>
      </c>
      <c r="G299" s="2">
        <v>0</v>
      </c>
      <c r="H299" s="2">
        <v>115</v>
      </c>
      <c r="I299" s="2">
        <v>0</v>
      </c>
      <c r="J299" s="2">
        <v>1.5</v>
      </c>
      <c r="K299" s="2">
        <v>1</v>
      </c>
      <c r="L299" s="2">
        <v>0</v>
      </c>
      <c r="M299" s="2">
        <v>2</v>
      </c>
      <c r="N299" s="2">
        <v>1</v>
      </c>
    </row>
    <row r="300" spans="1:14" customFormat="1" x14ac:dyDescent="0.25">
      <c r="A300" s="2">
        <v>44</v>
      </c>
      <c r="B300" s="2">
        <v>0</v>
      </c>
      <c r="C300" s="2">
        <v>2</v>
      </c>
      <c r="D300" s="2">
        <v>108</v>
      </c>
      <c r="E300" s="2">
        <v>141</v>
      </c>
      <c r="F300" s="2">
        <v>0</v>
      </c>
      <c r="G300" s="2">
        <v>1</v>
      </c>
      <c r="H300" s="2">
        <v>175</v>
      </c>
      <c r="I300" s="2">
        <v>0</v>
      </c>
      <c r="J300" s="2">
        <v>0.6</v>
      </c>
      <c r="K300" s="2">
        <v>1</v>
      </c>
      <c r="L300" s="2">
        <v>0</v>
      </c>
      <c r="M300" s="2">
        <v>2</v>
      </c>
      <c r="N300" s="2">
        <v>1</v>
      </c>
    </row>
    <row r="301" spans="1:14" customFormat="1" x14ac:dyDescent="0.25">
      <c r="A301" s="2">
        <v>52</v>
      </c>
      <c r="B301" s="2">
        <v>1</v>
      </c>
      <c r="C301" s="2">
        <v>0</v>
      </c>
      <c r="D301" s="2">
        <v>128</v>
      </c>
      <c r="E301" s="2">
        <v>255</v>
      </c>
      <c r="F301" s="2">
        <v>0</v>
      </c>
      <c r="G301" s="2">
        <v>1</v>
      </c>
      <c r="H301" s="2">
        <v>161</v>
      </c>
      <c r="I301" s="2">
        <v>1</v>
      </c>
      <c r="J301" s="2">
        <v>0</v>
      </c>
      <c r="K301" s="2">
        <v>2</v>
      </c>
      <c r="L301" s="2">
        <v>1</v>
      </c>
      <c r="M301" s="2">
        <v>3</v>
      </c>
      <c r="N301" s="2">
        <v>0</v>
      </c>
    </row>
    <row r="302" spans="1:14" customFormat="1" x14ac:dyDescent="0.25">
      <c r="A302" s="2">
        <v>59</v>
      </c>
      <c r="B302" s="2">
        <v>1</v>
      </c>
      <c r="C302" s="2">
        <v>3</v>
      </c>
      <c r="D302" s="2">
        <v>160</v>
      </c>
      <c r="E302" s="2">
        <v>273</v>
      </c>
      <c r="F302" s="2">
        <v>0</v>
      </c>
      <c r="G302" s="2">
        <v>0</v>
      </c>
      <c r="H302" s="2">
        <v>125</v>
      </c>
      <c r="I302" s="2">
        <v>0</v>
      </c>
      <c r="J302" s="2">
        <v>0</v>
      </c>
      <c r="K302" s="2">
        <v>2</v>
      </c>
      <c r="L302" s="2">
        <v>0</v>
      </c>
      <c r="M302" s="2">
        <v>2</v>
      </c>
      <c r="N302" s="2">
        <v>0</v>
      </c>
    </row>
    <row r="303" spans="1:14" customFormat="1" x14ac:dyDescent="0.25">
      <c r="A303" s="2">
        <v>54</v>
      </c>
      <c r="B303" s="2">
        <v>1</v>
      </c>
      <c r="C303" s="2">
        <v>0</v>
      </c>
      <c r="D303" s="2">
        <v>120</v>
      </c>
      <c r="E303" s="2">
        <v>188</v>
      </c>
      <c r="F303" s="2">
        <v>0</v>
      </c>
      <c r="G303" s="2">
        <v>1</v>
      </c>
      <c r="H303" s="2">
        <v>113</v>
      </c>
      <c r="I303" s="2">
        <v>0</v>
      </c>
      <c r="J303" s="2">
        <v>1.4</v>
      </c>
      <c r="K303" s="2">
        <v>1</v>
      </c>
      <c r="L303" s="2">
        <v>1</v>
      </c>
      <c r="M303" s="2">
        <v>3</v>
      </c>
      <c r="N303" s="2">
        <v>0</v>
      </c>
    </row>
  </sheetData>
  <autoFilter ref="A1:N1026" xr:uid="{A2A895BE-48B9-43F5-A5EA-4279D073818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72B75-8946-4529-B8B0-C2EBE99997A3}">
  <dimension ref="A1:C15"/>
  <sheetViews>
    <sheetView workbookViewId="0">
      <pane ySplit="1" topLeftCell="A2" activePane="bottomLeft" state="frozen"/>
      <selection pane="bottomLeft" activeCell="C25" sqref="C25"/>
    </sheetView>
  </sheetViews>
  <sheetFormatPr defaultRowHeight="15" x14ac:dyDescent="0.25"/>
  <cols>
    <col min="1" max="1" width="15.28515625" bestFit="1" customWidth="1"/>
    <col min="2" max="2" width="14" bestFit="1" customWidth="1"/>
    <col min="3" max="3" width="38.5703125" bestFit="1" customWidth="1"/>
  </cols>
  <sheetData>
    <row r="1" spans="1:3" x14ac:dyDescent="0.25">
      <c r="A1" s="1" t="s">
        <v>26</v>
      </c>
      <c r="B1" s="1" t="s">
        <v>27</v>
      </c>
      <c r="C1" s="1" t="s">
        <v>28</v>
      </c>
    </row>
    <row r="2" spans="1:3" x14ac:dyDescent="0.25">
      <c r="A2" s="6" t="s">
        <v>0</v>
      </c>
      <c r="B2" s="6" t="s">
        <v>29</v>
      </c>
      <c r="C2" s="6" t="s">
        <v>30</v>
      </c>
    </row>
    <row r="3" spans="1:3" x14ac:dyDescent="0.25">
      <c r="A3" s="6" t="s">
        <v>1</v>
      </c>
      <c r="B3" s="6" t="s">
        <v>31</v>
      </c>
      <c r="C3" s="6" t="s">
        <v>32</v>
      </c>
    </row>
    <row r="4" spans="1:3" x14ac:dyDescent="0.25">
      <c r="A4" s="6" t="s">
        <v>2</v>
      </c>
      <c r="B4" s="6" t="s">
        <v>33</v>
      </c>
      <c r="C4" s="6" t="s">
        <v>34</v>
      </c>
    </row>
    <row r="5" spans="1:3" x14ac:dyDescent="0.25">
      <c r="A5" s="6" t="s">
        <v>3</v>
      </c>
      <c r="B5" s="6" t="s">
        <v>29</v>
      </c>
      <c r="C5" s="6" t="s">
        <v>35</v>
      </c>
    </row>
    <row r="6" spans="1:3" x14ac:dyDescent="0.25">
      <c r="A6" s="6" t="s">
        <v>4</v>
      </c>
      <c r="B6" s="6" t="s">
        <v>29</v>
      </c>
      <c r="C6" s="6" t="s">
        <v>36</v>
      </c>
    </row>
    <row r="7" spans="1:3" x14ac:dyDescent="0.25">
      <c r="A7" s="6" t="s">
        <v>5</v>
      </c>
      <c r="B7" s="6" t="s">
        <v>31</v>
      </c>
      <c r="C7" s="6" t="s">
        <v>37</v>
      </c>
    </row>
    <row r="8" spans="1:3" x14ac:dyDescent="0.25">
      <c r="A8" s="6" t="s">
        <v>6</v>
      </c>
      <c r="B8" s="6" t="s">
        <v>38</v>
      </c>
      <c r="C8" s="6" t="s">
        <v>39</v>
      </c>
    </row>
    <row r="9" spans="1:3" x14ac:dyDescent="0.25">
      <c r="A9" s="6" t="s">
        <v>7</v>
      </c>
      <c r="B9" s="6" t="s">
        <v>29</v>
      </c>
      <c r="C9" s="6" t="s">
        <v>40</v>
      </c>
    </row>
    <row r="10" spans="1:3" x14ac:dyDescent="0.25">
      <c r="A10" s="6" t="s">
        <v>8</v>
      </c>
      <c r="B10" s="6" t="s">
        <v>31</v>
      </c>
      <c r="C10" s="6" t="s">
        <v>41</v>
      </c>
    </row>
    <row r="11" spans="1:3" x14ac:dyDescent="0.25">
      <c r="A11" s="6" t="s">
        <v>9</v>
      </c>
      <c r="B11" s="6" t="s">
        <v>29</v>
      </c>
      <c r="C11" s="6" t="s">
        <v>42</v>
      </c>
    </row>
    <row r="12" spans="1:3" x14ac:dyDescent="0.25">
      <c r="A12" s="6" t="s">
        <v>10</v>
      </c>
      <c r="B12" s="6" t="s">
        <v>38</v>
      </c>
      <c r="C12" s="6" t="s">
        <v>43</v>
      </c>
    </row>
    <row r="13" spans="1:3" x14ac:dyDescent="0.25">
      <c r="A13" s="6" t="s">
        <v>11</v>
      </c>
      <c r="B13" s="6" t="s">
        <v>44</v>
      </c>
      <c r="C13" s="6" t="s">
        <v>45</v>
      </c>
    </row>
    <row r="14" spans="1:3" x14ac:dyDescent="0.25">
      <c r="A14" s="6" t="s">
        <v>12</v>
      </c>
      <c r="B14" s="6" t="s">
        <v>33</v>
      </c>
      <c r="C14" s="6" t="s">
        <v>46</v>
      </c>
    </row>
    <row r="15" spans="1:3" x14ac:dyDescent="0.25">
      <c r="A15" s="6" t="s">
        <v>13</v>
      </c>
      <c r="B15" s="6" t="s">
        <v>31</v>
      </c>
      <c r="C15" s="6" t="s">
        <v>47</v>
      </c>
    </row>
  </sheetData>
  <autoFilter ref="A1:C15" xr:uid="{97B72B75-8946-4529-B8B0-C2EBE99997A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16DD-1B37-48E8-9C9B-9AD9F5A6BA7E}">
  <dimension ref="A1:E15"/>
  <sheetViews>
    <sheetView workbookViewId="0">
      <pane ySplit="1" topLeftCell="A2" activePane="bottomLeft" state="frozen"/>
      <selection pane="bottomLeft" activeCell="E16" sqref="E16"/>
    </sheetView>
  </sheetViews>
  <sheetFormatPr defaultRowHeight="15" x14ac:dyDescent="0.25"/>
  <cols>
    <col min="1" max="1" width="12.85546875" bestFit="1" customWidth="1"/>
    <col min="2" max="2" width="10.42578125" bestFit="1" customWidth="1"/>
    <col min="3" max="3" width="12.5703125" bestFit="1" customWidth="1"/>
    <col min="4" max="4" width="8.85546875" bestFit="1" customWidth="1"/>
    <col min="5" max="5" width="9.140625" bestFit="1" customWidth="1"/>
  </cols>
  <sheetData>
    <row r="1" spans="1:5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25">
      <c r="A2" s="5" t="s">
        <v>0</v>
      </c>
      <c r="B2" s="4">
        <f>AVERAGE(heart!A$2:A$303)</f>
        <v>54.420529801324506</v>
      </c>
      <c r="C2" s="4">
        <f>_xlfn.STDEV.S(heart!A$2:A$303)</f>
        <v>9.0479697462474622</v>
      </c>
      <c r="D2" s="4">
        <f>MIN(heart!A$2:A$303)</f>
        <v>29</v>
      </c>
      <c r="E2" s="4">
        <f>MAX(heart!A$2:A$303)</f>
        <v>77</v>
      </c>
    </row>
    <row r="3" spans="1:5" x14ac:dyDescent="0.25">
      <c r="A3" s="5" t="s">
        <v>1</v>
      </c>
      <c r="B3" s="4">
        <f>AVERAGE(heart!B$2:B$303)</f>
        <v>0.68211920529801329</v>
      </c>
      <c r="C3" s="4">
        <f>_xlfn.STDEV.S(heart!B$2:B$303)</f>
        <v>0.46642573806726428</v>
      </c>
      <c r="D3" s="4">
        <f>MIN(heart!B$2:B$303)</f>
        <v>0</v>
      </c>
      <c r="E3" s="4">
        <f>MAX(heart!B$2:B$303)</f>
        <v>1</v>
      </c>
    </row>
    <row r="4" spans="1:5" x14ac:dyDescent="0.25">
      <c r="A4" s="5" t="s">
        <v>2</v>
      </c>
      <c r="B4" s="4">
        <f>AVERAGE(heart!C$2:C$303)</f>
        <v>0.96357615894039739</v>
      </c>
      <c r="C4" s="4">
        <f>_xlfn.STDEV.S(heart!C$2:C$303)</f>
        <v>1.0320436419542316</v>
      </c>
      <c r="D4" s="4">
        <f>MIN(heart!C$2:C$303)</f>
        <v>0</v>
      </c>
      <c r="E4" s="4">
        <f>MAX(heart!C$2:C$303)</f>
        <v>3</v>
      </c>
    </row>
    <row r="5" spans="1:5" x14ac:dyDescent="0.25">
      <c r="A5" s="5" t="s">
        <v>3</v>
      </c>
      <c r="B5" s="4">
        <f>AVERAGE(heart!D$2:D$303)</f>
        <v>131.60264900662253</v>
      </c>
      <c r="C5" s="4">
        <f>_xlfn.STDEV.S(heart!D$2:D$303)</f>
        <v>17.563394230037531</v>
      </c>
      <c r="D5" s="4">
        <f>MIN(heart!D$2:D$303)</f>
        <v>94</v>
      </c>
      <c r="E5" s="4">
        <f>MAX(heart!D$2:D$303)</f>
        <v>200</v>
      </c>
    </row>
    <row r="6" spans="1:5" x14ac:dyDescent="0.25">
      <c r="A6" s="5" t="s">
        <v>4</v>
      </c>
      <c r="B6" s="4">
        <f>AVERAGE(heart!E$2:E$303)</f>
        <v>246.5</v>
      </c>
      <c r="C6" s="4">
        <f>_xlfn.STDEV.S(heart!E$2:E$303)</f>
        <v>51.753488655740561</v>
      </c>
      <c r="D6" s="4">
        <f>MIN(heart!E$2:E$303)</f>
        <v>126</v>
      </c>
      <c r="E6" s="4">
        <f>MAX(heart!E$2:E$303)</f>
        <v>564</v>
      </c>
    </row>
    <row r="7" spans="1:5" x14ac:dyDescent="0.25">
      <c r="A7" s="5" t="s">
        <v>5</v>
      </c>
      <c r="B7" s="4">
        <f>AVERAGE(heart!F$2:F$303)</f>
        <v>0.1490066225165563</v>
      </c>
      <c r="C7" s="4">
        <f>_xlfn.STDEV.S(heart!F$2:F$303)</f>
        <v>0.35668602936481325</v>
      </c>
      <c r="D7" s="4">
        <f>MIN(heart!F$2:F$303)</f>
        <v>0</v>
      </c>
      <c r="E7" s="4">
        <f>MAX(heart!F$2:F$303)</f>
        <v>1</v>
      </c>
    </row>
    <row r="8" spans="1:5" x14ac:dyDescent="0.25">
      <c r="A8" s="5" t="s">
        <v>6</v>
      </c>
      <c r="B8" s="4">
        <f>AVERAGE(heart!G$2:G$303)</f>
        <v>0.52649006622516559</v>
      </c>
      <c r="C8" s="4">
        <f>_xlfn.STDEV.S(heart!G$2:G$303)</f>
        <v>0.52602716940997518</v>
      </c>
      <c r="D8" s="4">
        <f>MIN(heart!G$2:G$303)</f>
        <v>0</v>
      </c>
      <c r="E8" s="4">
        <f>MAX(heart!G$2:G$303)</f>
        <v>2</v>
      </c>
    </row>
    <row r="9" spans="1:5" x14ac:dyDescent="0.25">
      <c r="A9" s="5" t="s">
        <v>7</v>
      </c>
      <c r="B9" s="4">
        <f>AVERAGE(heart!H$2:H$303)</f>
        <v>149.56953642384107</v>
      </c>
      <c r="C9" s="4">
        <f>_xlfn.STDEV.S(heart!H$2:H$303)</f>
        <v>22.903527251969845</v>
      </c>
      <c r="D9" s="4">
        <f>MIN(heart!H$2:H$303)</f>
        <v>71</v>
      </c>
      <c r="E9" s="4">
        <f>MAX(heart!H$2:H$303)</f>
        <v>202</v>
      </c>
    </row>
    <row r="10" spans="1:5" x14ac:dyDescent="0.25">
      <c r="A10" s="5" t="s">
        <v>8</v>
      </c>
      <c r="B10" s="4">
        <f>AVERAGE(heart!I$2:I$303)</f>
        <v>0.32781456953642385</v>
      </c>
      <c r="C10" s="4">
        <f>_xlfn.STDEV.S(heart!I$2:I$303)</f>
        <v>0.4701959640097696</v>
      </c>
      <c r="D10" s="4">
        <f>MIN(heart!I$2:I$303)</f>
        <v>0</v>
      </c>
      <c r="E10" s="4">
        <f>MAX(heart!I$2:I$303)</f>
        <v>1</v>
      </c>
    </row>
    <row r="11" spans="1:5" x14ac:dyDescent="0.25">
      <c r="A11" s="5" t="s">
        <v>9</v>
      </c>
      <c r="B11" s="4">
        <f>AVERAGE(heart!J$2:J$303)</f>
        <v>1.0430463576158946</v>
      </c>
      <c r="C11" s="4">
        <f>_xlfn.STDEV.S(heart!J$2:J$303)</f>
        <v>1.1614522890634555</v>
      </c>
      <c r="D11" s="4">
        <f>MIN(heart!J$2:J$303)</f>
        <v>0</v>
      </c>
      <c r="E11" s="4">
        <f>MAX(heart!J$2:J$303)</f>
        <v>6.2</v>
      </c>
    </row>
    <row r="12" spans="1:5" x14ac:dyDescent="0.25">
      <c r="A12" s="5" t="s">
        <v>10</v>
      </c>
      <c r="B12" s="4">
        <f>AVERAGE(heart!K$2:K$303)</f>
        <v>1.3973509933774835</v>
      </c>
      <c r="C12" s="4">
        <f>_xlfn.STDEV.S(heart!K$2:K$303)</f>
        <v>0.61627398444414672</v>
      </c>
      <c r="D12" s="4">
        <f>MIN(heart!K$2:K$303)</f>
        <v>0</v>
      </c>
      <c r="E12" s="4">
        <f>MAX(heart!K$2:K$303)</f>
        <v>2</v>
      </c>
    </row>
    <row r="13" spans="1:5" x14ac:dyDescent="0.25">
      <c r="A13" s="5" t="s">
        <v>11</v>
      </c>
      <c r="B13" s="4">
        <f>AVERAGE(heart!L$2:L$303)</f>
        <v>0.7185430463576159</v>
      </c>
      <c r="C13" s="4">
        <f>_xlfn.STDEV.S(heart!L$2:L$303)</f>
        <v>1.0067482586428396</v>
      </c>
      <c r="D13" s="4">
        <f>MIN(heart!L$2:L$303)</f>
        <v>0</v>
      </c>
      <c r="E13" s="4">
        <f>MAX(heart!L$2:L$303)</f>
        <v>4</v>
      </c>
    </row>
    <row r="14" spans="1:5" x14ac:dyDescent="0.25">
      <c r="A14" s="5" t="s">
        <v>12</v>
      </c>
      <c r="B14" s="4">
        <f>AVERAGE(heart!M$2:M$303)</f>
        <v>2.314569536423841</v>
      </c>
      <c r="C14" s="4">
        <f>_xlfn.STDEV.S(heart!M$2:M$303)</f>
        <v>0.61302553978147545</v>
      </c>
      <c r="D14" s="4">
        <f>MIN(heart!M$2:M$303)</f>
        <v>0</v>
      </c>
      <c r="E14" s="4">
        <f>MAX(heart!M$2:M$303)</f>
        <v>3</v>
      </c>
    </row>
    <row r="15" spans="1:5" x14ac:dyDescent="0.25">
      <c r="A15" s="5" t="s">
        <v>13</v>
      </c>
      <c r="B15" s="4">
        <f>AVERAGE(heart!N$2:N$303)</f>
        <v>0.54304635761589404</v>
      </c>
      <c r="C15" s="4">
        <f>_xlfn.STDEV.S(heart!N$2:N$303)</f>
        <v>0.49897035961141234</v>
      </c>
      <c r="D15" s="4">
        <f>MIN(heart!N$2:N$303)</f>
        <v>0</v>
      </c>
      <c r="E15" s="4">
        <f>MAX(heart!N$2:N$303)</f>
        <v>1</v>
      </c>
    </row>
  </sheetData>
  <autoFilter ref="A1:E1" xr:uid="{14BF16DD-1B37-48E8-9C9B-9AD9F5A6BA7E}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E32B0-A4F3-4FB6-8DAC-BEBA96805FC7}">
  <dimension ref="A1:C4"/>
  <sheetViews>
    <sheetView workbookViewId="0">
      <selection activeCell="C4" sqref="C4"/>
    </sheetView>
  </sheetViews>
  <sheetFormatPr defaultRowHeight="15" x14ac:dyDescent="0.25"/>
  <cols>
    <col min="1" max="1" width="13.140625" bestFit="1" customWidth="1"/>
    <col min="2" max="2" width="29.7109375" bestFit="1" customWidth="1"/>
    <col min="3" max="3" width="7.28515625" bestFit="1" customWidth="1"/>
  </cols>
  <sheetData>
    <row r="1" spans="1:3" x14ac:dyDescent="0.25">
      <c r="A1" s="1" t="s">
        <v>19</v>
      </c>
      <c r="B1" s="1" t="s">
        <v>20</v>
      </c>
      <c r="C1" s="1" t="s">
        <v>21</v>
      </c>
    </row>
    <row r="2" spans="1:3" x14ac:dyDescent="0.25">
      <c r="A2" s="2">
        <v>0</v>
      </c>
      <c r="B2" s="2" t="s">
        <v>22</v>
      </c>
      <c r="C2" s="2">
        <f>COUNTIF(heart!N2:N303,0)</f>
        <v>138</v>
      </c>
    </row>
    <row r="3" spans="1:3" x14ac:dyDescent="0.25">
      <c r="A3" s="2">
        <v>1</v>
      </c>
      <c r="B3" s="2" t="s">
        <v>23</v>
      </c>
      <c r="C3" s="2">
        <f>COUNTIF(heart!N2:N303,1)</f>
        <v>164</v>
      </c>
    </row>
    <row r="4" spans="1:3" x14ac:dyDescent="0.25">
      <c r="A4" s="2" t="s">
        <v>24</v>
      </c>
      <c r="B4" s="2" t="s">
        <v>25</v>
      </c>
      <c r="C4" s="2">
        <f>SUM(C2:C3)</f>
        <v>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AB500-92E0-4056-9062-FB1242C608CC}">
  <dimension ref="A1:N115"/>
  <sheetViews>
    <sheetView topLeftCell="A118" zoomScaleNormal="100" workbookViewId="0">
      <selection activeCell="E136" sqref="E136"/>
    </sheetView>
  </sheetViews>
  <sheetFormatPr defaultRowHeight="15" x14ac:dyDescent="0.25"/>
  <cols>
    <col min="1" max="1" width="9.7109375" bestFit="1" customWidth="1"/>
    <col min="2" max="2" width="9.85546875" bestFit="1" customWidth="1"/>
    <col min="3" max="3" width="10" bestFit="1" customWidth="1"/>
    <col min="4" max="4" width="11.7109375" customWidth="1"/>
    <col min="5" max="5" width="12.85546875" customWidth="1"/>
    <col min="8" max="8" width="9.5703125" bestFit="1" customWidth="1"/>
    <col min="23" max="23" width="0" hidden="1" customWidth="1"/>
  </cols>
  <sheetData>
    <row r="1" spans="1:14" x14ac:dyDescent="0.25">
      <c r="A1" s="19" t="s">
        <v>54</v>
      </c>
      <c r="B1" s="19"/>
      <c r="C1" s="12" t="s">
        <v>59</v>
      </c>
      <c r="E1" t="s">
        <v>55</v>
      </c>
    </row>
    <row r="2" spans="1:14" x14ac:dyDescent="0.25">
      <c r="A2" s="8">
        <f>F7</f>
        <v>29</v>
      </c>
      <c r="B2" s="9">
        <f>COUNTIFS(heart!$A$2:$A$303,"&gt;="&amp;A2, heart!$A$2:$A$303,"&lt;"&amp;A3)</f>
        <v>1</v>
      </c>
      <c r="C2" s="10" t="str">
        <f>A2 &amp; "–" &amp; A3-1</f>
        <v>29–32</v>
      </c>
    </row>
    <row r="3" spans="1:14" x14ac:dyDescent="0.25">
      <c r="A3" s="8">
        <f t="shared" ref="A3:A14" si="0">A2+$F$6</f>
        <v>33</v>
      </c>
      <c r="B3" s="9">
        <f>COUNTIFS(heart!$A$2:$A$303,"&gt;="&amp;A3, heart!$A$2:$A$303,"&lt;"&amp;A4)</f>
        <v>6</v>
      </c>
      <c r="C3" s="10" t="str">
        <f t="shared" ref="C3:C13" si="1">A3 &amp; "–" &amp; A4-1</f>
        <v>33–36</v>
      </c>
      <c r="E3" t="s">
        <v>52</v>
      </c>
      <c r="F3">
        <f>_xlfn.QUARTILE.INC(heart!A2:A303,1)</f>
        <v>48</v>
      </c>
    </row>
    <row r="4" spans="1:14" x14ac:dyDescent="0.25">
      <c r="A4" s="8">
        <f t="shared" si="0"/>
        <v>37</v>
      </c>
      <c r="B4" s="9">
        <f>COUNTIFS(heart!$A$2:$A$303,"&gt;="&amp;A4, heart!$A$2:$A$303,"&lt;"&amp;A5)</f>
        <v>11</v>
      </c>
      <c r="C4" s="10" t="str">
        <f t="shared" si="1"/>
        <v>37–40</v>
      </c>
      <c r="E4" t="s">
        <v>51</v>
      </c>
      <c r="F4">
        <f>_xlfn.QUARTILE.INC(heart!A2:A303,3)</f>
        <v>61</v>
      </c>
      <c r="N4" s="7"/>
    </row>
    <row r="5" spans="1:14" x14ac:dyDescent="0.25">
      <c r="A5" s="8">
        <f t="shared" si="0"/>
        <v>41</v>
      </c>
      <c r="B5" s="9">
        <f>COUNTIFS(heart!$A$2:$A$303,"&gt;="&amp;A5, heart!$A$2:$A$303,"&lt;"&amp;A6)</f>
        <v>37</v>
      </c>
      <c r="C5" s="10" t="str">
        <f t="shared" si="1"/>
        <v>41–44</v>
      </c>
      <c r="E5" t="s">
        <v>50</v>
      </c>
      <c r="F5">
        <f>F4-F3</f>
        <v>13</v>
      </c>
      <c r="N5" s="7"/>
    </row>
    <row r="6" spans="1:14" x14ac:dyDescent="0.25">
      <c r="A6" s="8">
        <f t="shared" si="0"/>
        <v>45</v>
      </c>
      <c r="B6" s="9">
        <f>COUNTIFS(heart!$A$2:$A$303,"&gt;="&amp;A6, heart!$A$2:$A$303,"&lt;"&amp;A7)</f>
        <v>27</v>
      </c>
      <c r="C6" s="10" t="str">
        <f t="shared" si="1"/>
        <v>45–48</v>
      </c>
      <c r="E6" t="s">
        <v>53</v>
      </c>
      <c r="F6" s="7">
        <f>MROUND(2*F5/(COUNT(heart!A2:A303)^(1/3)),1)</f>
        <v>4</v>
      </c>
      <c r="N6" s="7"/>
    </row>
    <row r="7" spans="1:14" x14ac:dyDescent="0.25">
      <c r="A7" s="8">
        <f t="shared" si="0"/>
        <v>49</v>
      </c>
      <c r="B7" s="9">
        <f>COUNTIFS(heart!$A$2:$A$303,"&gt;="&amp;A7, heart!$A$2:$A$303,"&lt;"&amp;A8)</f>
        <v>37</v>
      </c>
      <c r="C7" s="10" t="str">
        <f t="shared" si="1"/>
        <v>49–52</v>
      </c>
      <c r="E7" t="s">
        <v>48</v>
      </c>
      <c r="F7" s="7">
        <f>'tabel 2.1'!D2</f>
        <v>29</v>
      </c>
    </row>
    <row r="8" spans="1:14" x14ac:dyDescent="0.25">
      <c r="A8" s="8">
        <f t="shared" si="0"/>
        <v>53</v>
      </c>
      <c r="B8" s="9">
        <f>COUNTIFS(heart!$A$2:$A$303,"&gt;="&amp;A8, heart!$A$2:$A$303,"&lt;"&amp;A9)</f>
        <v>43</v>
      </c>
      <c r="C8" s="10" t="str">
        <f t="shared" si="1"/>
        <v>53–56</v>
      </c>
      <c r="E8" t="s">
        <v>49</v>
      </c>
      <c r="F8" s="7">
        <f>'tabel 2.1'!E2</f>
        <v>77</v>
      </c>
    </row>
    <row r="9" spans="1:14" x14ac:dyDescent="0.25">
      <c r="A9" s="8">
        <f t="shared" si="0"/>
        <v>57</v>
      </c>
      <c r="B9" s="9">
        <f>COUNTIFS(heart!$A$2:$A$303,"&gt;="&amp;A9, heart!$A$2:$A$303,"&lt;"&amp;A10)</f>
        <v>61</v>
      </c>
      <c r="C9" s="10" t="str">
        <f t="shared" si="1"/>
        <v>57–60</v>
      </c>
    </row>
    <row r="10" spans="1:14" x14ac:dyDescent="0.25">
      <c r="A10" s="8">
        <f t="shared" si="0"/>
        <v>61</v>
      </c>
      <c r="B10" s="9">
        <f>COUNTIFS(heart!$A$2:$A$303,"&gt;="&amp;A10, heart!$A$2:$A$303,"&lt;"&amp;A11)</f>
        <v>38</v>
      </c>
      <c r="C10" s="10" t="str">
        <f t="shared" si="1"/>
        <v>61–64</v>
      </c>
    </row>
    <row r="11" spans="1:14" x14ac:dyDescent="0.25">
      <c r="A11" s="8">
        <f t="shared" si="0"/>
        <v>65</v>
      </c>
      <c r="B11" s="9">
        <f>COUNTIFS(heart!$A$2:$A$303,"&gt;="&amp;A11, heart!$A$2:$A$303,"&lt;"&amp;A12)</f>
        <v>28</v>
      </c>
      <c r="C11" s="10" t="str">
        <f t="shared" si="1"/>
        <v>65–68</v>
      </c>
      <c r="I11" s="7"/>
    </row>
    <row r="12" spans="1:14" x14ac:dyDescent="0.25">
      <c r="A12" s="8">
        <f t="shared" si="0"/>
        <v>69</v>
      </c>
      <c r="B12" s="9">
        <f>COUNTIFS(heart!$A$2:$A$303,"&gt;="&amp;A12, heart!$A$2:$A$303,"&lt;"&amp;A13)</f>
        <v>10</v>
      </c>
      <c r="C12" s="10" t="str">
        <f t="shared" si="1"/>
        <v>69–72</v>
      </c>
    </row>
    <row r="13" spans="1:14" x14ac:dyDescent="0.25">
      <c r="A13" s="8">
        <f t="shared" si="0"/>
        <v>73</v>
      </c>
      <c r="B13" s="9">
        <f>COUNTIFS(heart!$A$2:$A$303,"&gt;="&amp;A13, heart!$A$2:$A$303,"&lt;"&amp;A14)</f>
        <v>2</v>
      </c>
      <c r="C13" s="10" t="str">
        <f t="shared" si="1"/>
        <v>73–76</v>
      </c>
    </row>
    <row r="14" spans="1:14" x14ac:dyDescent="0.25">
      <c r="A14" s="8">
        <f t="shared" si="0"/>
        <v>77</v>
      </c>
      <c r="B14" s="9">
        <f>COUNTIFS(heart!$A$2:$A$303,"&gt;="&amp;A14, heart!$A$2:$A$303,"&lt;"&amp;A15)</f>
        <v>0</v>
      </c>
      <c r="C14" s="11">
        <f>A14</f>
        <v>77</v>
      </c>
    </row>
    <row r="18" spans="1:14" x14ac:dyDescent="0.25">
      <c r="H18" s="3"/>
    </row>
    <row r="19" spans="1:14" x14ac:dyDescent="0.25">
      <c r="H19" s="3"/>
    </row>
    <row r="23" spans="1:14" x14ac:dyDescent="0.25">
      <c r="A23" s="19" t="s">
        <v>54</v>
      </c>
      <c r="B23" s="19"/>
      <c r="C23" s="12" t="s">
        <v>59</v>
      </c>
      <c r="E23" t="s">
        <v>56</v>
      </c>
    </row>
    <row r="24" spans="1:14" x14ac:dyDescent="0.25">
      <c r="A24" s="8">
        <f>F29</f>
        <v>94</v>
      </c>
      <c r="B24" s="9">
        <f>COUNTIFS(heart!$D$2:$D$303,"&gt;="&amp;A24, heart!$D$2:$D$303,"&lt;"&amp;A25)</f>
        <v>2</v>
      </c>
      <c r="C24" s="10" t="str">
        <f>A24 &amp; "–" &amp; A25-1</f>
        <v>94–99</v>
      </c>
    </row>
    <row r="25" spans="1:14" x14ac:dyDescent="0.25">
      <c r="A25" s="8">
        <f>A24+$F$28</f>
        <v>100</v>
      </c>
      <c r="B25" s="9">
        <f>COUNTIFS(heart!$D$2:$D$303,"&gt;="&amp;A25, heart!$D$2:$D$303,"&lt;"&amp;A26)</f>
        <v>11</v>
      </c>
      <c r="C25" s="10" t="str">
        <f t="shared" ref="C25:C41" si="2">A25 &amp; "–" &amp; A26-1</f>
        <v>100–105</v>
      </c>
      <c r="E25" t="s">
        <v>52</v>
      </c>
      <c r="F25">
        <f>_xlfn.QUARTILE.INC(heart!D2:D303,1)</f>
        <v>120</v>
      </c>
    </row>
    <row r="26" spans="1:14" x14ac:dyDescent="0.25">
      <c r="A26" s="8">
        <f t="shared" ref="A26:A42" si="3">A25+$F$28</f>
        <v>106</v>
      </c>
      <c r="B26" s="9">
        <f>COUNTIFS(heart!$D$2:$D$303,"&gt;="&amp;A26, heart!$D$2:$D$303,"&lt;"&amp;A27)</f>
        <v>26</v>
      </c>
      <c r="C26" s="10" t="str">
        <f t="shared" si="2"/>
        <v>106–111</v>
      </c>
      <c r="E26" t="s">
        <v>51</v>
      </c>
      <c r="F26">
        <f>_xlfn.QUARTILE.INC(heart!D2:D303,3)</f>
        <v>140</v>
      </c>
      <c r="N26" s="7"/>
    </row>
    <row r="27" spans="1:14" x14ac:dyDescent="0.25">
      <c r="A27" s="8">
        <f t="shared" si="3"/>
        <v>112</v>
      </c>
      <c r="B27" s="9">
        <f>COUNTIFS(heart!$D$2:$D$303,"&gt;="&amp;A27, heart!$D$2:$D$303,"&lt;"&amp;A28)</f>
        <v>14</v>
      </c>
      <c r="C27" s="10" t="str">
        <f t="shared" si="2"/>
        <v>112–117</v>
      </c>
      <c r="E27" t="s">
        <v>50</v>
      </c>
      <c r="F27">
        <f>F26-F25</f>
        <v>20</v>
      </c>
      <c r="N27" s="7"/>
    </row>
    <row r="28" spans="1:14" x14ac:dyDescent="0.25">
      <c r="A28" s="8">
        <f t="shared" si="3"/>
        <v>118</v>
      </c>
      <c r="B28" s="9">
        <f>COUNTIFS(heart!$D$2:$D$303,"&gt;="&amp;A28, heart!$D$2:$D$303,"&lt;"&amp;A29)</f>
        <v>49</v>
      </c>
      <c r="C28" s="10" t="str">
        <f t="shared" si="2"/>
        <v>118–123</v>
      </c>
      <c r="E28" t="s">
        <v>53</v>
      </c>
      <c r="F28" s="7">
        <f>MROUND(2*F27/(COUNT(heart!D2:D303)^(1/3)),1)</f>
        <v>6</v>
      </c>
      <c r="N28" s="7"/>
    </row>
    <row r="29" spans="1:14" x14ac:dyDescent="0.25">
      <c r="A29" s="8">
        <f t="shared" si="3"/>
        <v>124</v>
      </c>
      <c r="B29" s="9">
        <f>COUNTIFS(heart!$D$2:$D$303,"&gt;="&amp;A29, heart!$D$2:$D$303,"&lt;"&amp;A30)</f>
        <v>33</v>
      </c>
      <c r="C29" s="10" t="str">
        <f t="shared" si="2"/>
        <v>124–129</v>
      </c>
      <c r="E29" t="s">
        <v>57</v>
      </c>
      <c r="F29" s="7">
        <f>'tabel 2.1'!D5</f>
        <v>94</v>
      </c>
    </row>
    <row r="30" spans="1:14" x14ac:dyDescent="0.25">
      <c r="A30" s="8">
        <f t="shared" si="3"/>
        <v>130</v>
      </c>
      <c r="B30" s="9">
        <f>COUNTIFS(heart!$D$2:$D$303,"&gt;="&amp;A30, heart!$D$2:$D$303,"&lt;"&amp;A31)</f>
        <v>55</v>
      </c>
      <c r="C30" s="10" t="str">
        <f t="shared" si="2"/>
        <v>130–135</v>
      </c>
      <c r="E30" t="s">
        <v>58</v>
      </c>
      <c r="F30" s="7">
        <f>'tabel 2.1'!E5</f>
        <v>200</v>
      </c>
    </row>
    <row r="31" spans="1:14" x14ac:dyDescent="0.25">
      <c r="A31" s="8">
        <f t="shared" si="3"/>
        <v>136</v>
      </c>
      <c r="B31" s="9">
        <f>COUNTIFS(heart!$D$2:$D$303,"&gt;="&amp;A31, heart!$D$2:$D$303,"&lt;"&amp;A32)</f>
        <v>47</v>
      </c>
      <c r="C31" s="10" t="str">
        <f t="shared" si="2"/>
        <v>136–141</v>
      </c>
    </row>
    <row r="32" spans="1:14" x14ac:dyDescent="0.25">
      <c r="A32" s="8">
        <f t="shared" si="3"/>
        <v>142</v>
      </c>
      <c r="B32" s="9">
        <f>COUNTIFS(heart!$D$2:$D$303,"&gt;="&amp;A32, heart!$D$2:$D$303,"&lt;"&amp;A33)</f>
        <v>12</v>
      </c>
      <c r="C32" s="10" t="str">
        <f t="shared" si="2"/>
        <v>142–147</v>
      </c>
    </row>
    <row r="33" spans="1:9" x14ac:dyDescent="0.25">
      <c r="A33" s="8">
        <f t="shared" si="3"/>
        <v>148</v>
      </c>
      <c r="B33" s="9">
        <f>COUNTIFS(heart!$D$2:$D$303,"&gt;="&amp;A33, heart!$D$2:$D$303,"&lt;"&amp;A34)</f>
        <v>24</v>
      </c>
      <c r="C33" s="10" t="str">
        <f t="shared" si="2"/>
        <v>148–153</v>
      </c>
      <c r="I33" s="7"/>
    </row>
    <row r="34" spans="1:9" x14ac:dyDescent="0.25">
      <c r="A34" s="8">
        <f t="shared" si="3"/>
        <v>154</v>
      </c>
      <c r="B34" s="9">
        <f>COUNTIFS(heart!$D$2:$D$303,"&gt;="&amp;A34, heart!$D$2:$D$303,"&lt;"&amp;A35)</f>
        <v>3</v>
      </c>
      <c r="C34" s="10" t="str">
        <f t="shared" si="2"/>
        <v>154–159</v>
      </c>
    </row>
    <row r="35" spans="1:9" x14ac:dyDescent="0.25">
      <c r="A35" s="8">
        <f t="shared" si="3"/>
        <v>160</v>
      </c>
      <c r="B35" s="9">
        <f>COUNTIFS(heart!$D$2:$D$303,"&gt;="&amp;A35, heart!$D$2:$D$303,"&lt;"&amp;A36)</f>
        <v>13</v>
      </c>
      <c r="C35" s="10" t="str">
        <f t="shared" si="2"/>
        <v>160–165</v>
      </c>
    </row>
    <row r="36" spans="1:9" x14ac:dyDescent="0.25">
      <c r="A36" s="8">
        <f t="shared" si="3"/>
        <v>166</v>
      </c>
      <c r="B36" s="9">
        <f>COUNTIFS(heart!$D$2:$D$303,"&gt;="&amp;A36, heart!$D$2:$D$303,"&lt;"&amp;A37)</f>
        <v>4</v>
      </c>
      <c r="C36" s="10" t="str">
        <f t="shared" si="2"/>
        <v>166–171</v>
      </c>
    </row>
    <row r="37" spans="1:9" x14ac:dyDescent="0.25">
      <c r="A37" s="8">
        <f t="shared" si="3"/>
        <v>172</v>
      </c>
      <c r="B37" s="9">
        <f>COUNTIFS(heart!$D$2:$D$303,"&gt;="&amp;A37, heart!$D$2:$D$303,"&lt;"&amp;A38)</f>
        <v>2</v>
      </c>
      <c r="C37" s="10" t="str">
        <f t="shared" si="2"/>
        <v>172–177</v>
      </c>
    </row>
    <row r="38" spans="1:9" x14ac:dyDescent="0.25">
      <c r="A38" s="8">
        <f t="shared" si="3"/>
        <v>178</v>
      </c>
      <c r="B38" s="9">
        <f>COUNTIFS(heart!$D$2:$D$303,"&gt;="&amp;A38, heart!$D$2:$D$303,"&lt;"&amp;A39)</f>
        <v>5</v>
      </c>
      <c r="C38" s="10" t="str">
        <f t="shared" si="2"/>
        <v>178–183</v>
      </c>
    </row>
    <row r="39" spans="1:9" x14ac:dyDescent="0.25">
      <c r="A39" s="8">
        <f t="shared" si="3"/>
        <v>184</v>
      </c>
      <c r="B39" s="9">
        <f>COUNTIFS(heart!$D$2:$D$303,"&gt;="&amp;A39, heart!$D$2:$D$303,"&lt;"&amp;A40)</f>
        <v>0</v>
      </c>
      <c r="C39" s="10" t="str">
        <f t="shared" si="2"/>
        <v>184–189</v>
      </c>
    </row>
    <row r="40" spans="1:9" x14ac:dyDescent="0.25">
      <c r="A40" s="8">
        <f t="shared" si="3"/>
        <v>190</v>
      </c>
      <c r="B40" s="9">
        <f>COUNTIFS(heart!$D$2:$D$303,"&gt;="&amp;A40, heart!$D$2:$D$303,"&lt;"&amp;A41)</f>
        <v>1</v>
      </c>
      <c r="C40" s="10" t="str">
        <f t="shared" si="2"/>
        <v>190–195</v>
      </c>
      <c r="H40" s="3"/>
    </row>
    <row r="41" spans="1:9" x14ac:dyDescent="0.25">
      <c r="A41" s="8">
        <f t="shared" si="3"/>
        <v>196</v>
      </c>
      <c r="B41" s="9">
        <f>COUNTIFS(heart!$D$2:$D$303,"&gt;="&amp;A41, heart!$D$2:$D$303,"&lt;"&amp;A42)</f>
        <v>1</v>
      </c>
      <c r="C41" s="10" t="str">
        <f t="shared" si="2"/>
        <v>196–201</v>
      </c>
      <c r="H41" s="3"/>
    </row>
    <row r="42" spans="1:9" x14ac:dyDescent="0.25">
      <c r="A42" s="8">
        <f t="shared" si="3"/>
        <v>202</v>
      </c>
      <c r="B42" s="9">
        <f>COUNTIFS(heart!$D$2:$D$303,"&gt;="&amp;A42, heart!$D$2:$D$303,"&lt;"&amp;A43)</f>
        <v>0</v>
      </c>
      <c r="C42" s="11">
        <f>A42</f>
        <v>202</v>
      </c>
    </row>
    <row r="46" spans="1:9" x14ac:dyDescent="0.25">
      <c r="A46" s="19" t="s">
        <v>54</v>
      </c>
      <c r="B46" s="19"/>
      <c r="C46" s="12" t="s">
        <v>59</v>
      </c>
      <c r="E46" t="s">
        <v>62</v>
      </c>
    </row>
    <row r="47" spans="1:9" x14ac:dyDescent="0.25">
      <c r="A47" s="8">
        <f>F52</f>
        <v>126</v>
      </c>
      <c r="B47" s="9">
        <f>COUNTIFS(heart!$E$2:$E$303,"&gt;="&amp;A47, heart!$E$2:$E$303,"&lt;"&amp;A48)</f>
        <v>3</v>
      </c>
      <c r="C47" s="10" t="str">
        <f>A47 &amp; "–" &amp; A48-1</f>
        <v>126–144</v>
      </c>
    </row>
    <row r="48" spans="1:9" x14ac:dyDescent="0.25">
      <c r="A48" s="8">
        <f>A47+$F$51</f>
        <v>145</v>
      </c>
      <c r="B48" s="9">
        <f>COUNTIFS(heart!$E$2:$E$303,"&gt;="&amp;A48, heart!$E$2:$E$303,"&lt;"&amp;A49)</f>
        <v>4</v>
      </c>
      <c r="C48" s="10" t="str">
        <f>A48 &amp; "–" &amp; A49-1</f>
        <v>145–163</v>
      </c>
      <c r="E48" t="s">
        <v>52</v>
      </c>
      <c r="F48">
        <f>_xlfn.QUARTILE.INC(heart!E2:E303,1)</f>
        <v>211</v>
      </c>
    </row>
    <row r="49" spans="1:14" x14ac:dyDescent="0.25">
      <c r="A49" s="8">
        <f t="shared" ref="A49:A71" si="4">A48+$F$51</f>
        <v>164</v>
      </c>
      <c r="B49" s="9">
        <f>COUNTIFS(heart!$E$2:$E$303,"&gt;="&amp;A49, heart!$E$2:$E$303,"&lt;"&amp;A50)</f>
        <v>17</v>
      </c>
      <c r="C49" s="10" t="str">
        <f t="shared" ref="C49:C70" si="5">A49 &amp; "–" &amp; A50-1</f>
        <v>164–182</v>
      </c>
      <c r="E49" t="s">
        <v>51</v>
      </c>
      <c r="F49">
        <f>_xlfn.QUARTILE.INC(heart!E2:E303,3)</f>
        <v>274.75</v>
      </c>
      <c r="N49" s="7"/>
    </row>
    <row r="50" spans="1:14" x14ac:dyDescent="0.25">
      <c r="A50" s="8">
        <f t="shared" si="4"/>
        <v>183</v>
      </c>
      <c r="B50" s="9">
        <f>COUNTIFS(heart!$E$2:$E$303,"&gt;="&amp;A50, heart!$E$2:$E$303,"&lt;"&amp;A51)</f>
        <v>29</v>
      </c>
      <c r="C50" s="10" t="str">
        <f t="shared" si="5"/>
        <v>183–201</v>
      </c>
      <c r="E50" t="s">
        <v>50</v>
      </c>
      <c r="F50">
        <f>F49-F48</f>
        <v>63.75</v>
      </c>
      <c r="N50" s="7"/>
    </row>
    <row r="51" spans="1:14" x14ac:dyDescent="0.25">
      <c r="A51" s="8">
        <f t="shared" si="4"/>
        <v>202</v>
      </c>
      <c r="B51" s="9">
        <f>COUNTIFS(heart!$E$2:$E$303,"&gt;="&amp;A51, heart!$E$2:$E$303,"&lt;"&amp;A52)</f>
        <v>45</v>
      </c>
      <c r="C51" s="10" t="str">
        <f t="shared" si="5"/>
        <v>202–220</v>
      </c>
      <c r="E51" t="s">
        <v>53</v>
      </c>
      <c r="F51" s="7">
        <f>MROUND(2*F50/(COUNT(heart!E2:E303)^(1/3)),1)</f>
        <v>19</v>
      </c>
      <c r="N51" s="7"/>
    </row>
    <row r="52" spans="1:14" x14ac:dyDescent="0.25">
      <c r="A52" s="8">
        <f t="shared" si="4"/>
        <v>221</v>
      </c>
      <c r="B52" s="9">
        <f>COUNTIFS(heart!$E$2:$E$303,"&gt;="&amp;A52, heart!$E$2:$E$303,"&lt;"&amp;A53)</f>
        <v>49</v>
      </c>
      <c r="C52" s="10" t="str">
        <f t="shared" si="5"/>
        <v>221–239</v>
      </c>
      <c r="E52" t="s">
        <v>60</v>
      </c>
      <c r="F52" s="7">
        <f>'tabel 2.1'!D6</f>
        <v>126</v>
      </c>
    </row>
    <row r="53" spans="1:14" x14ac:dyDescent="0.25">
      <c r="A53" s="8">
        <f t="shared" si="4"/>
        <v>240</v>
      </c>
      <c r="B53" s="9">
        <f>COUNTIFS(heart!$E$2:$E$303,"&gt;="&amp;A53, heart!$E$2:$E$303,"&lt;"&amp;A54)</f>
        <v>46</v>
      </c>
      <c r="C53" s="10" t="str">
        <f t="shared" si="5"/>
        <v>240–258</v>
      </c>
      <c r="E53" t="s">
        <v>61</v>
      </c>
      <c r="F53" s="7">
        <f>'tabel 2.1'!E6</f>
        <v>564</v>
      </c>
    </row>
    <row r="54" spans="1:14" x14ac:dyDescent="0.25">
      <c r="A54" s="8">
        <f t="shared" si="4"/>
        <v>259</v>
      </c>
      <c r="B54" s="9">
        <f>COUNTIFS(heart!$E$2:$E$303,"&gt;="&amp;A54, heart!$E$2:$E$303,"&lt;"&amp;A55)</f>
        <v>38</v>
      </c>
      <c r="C54" s="10" t="str">
        <f t="shared" si="5"/>
        <v>259–277</v>
      </c>
    </row>
    <row r="55" spans="1:14" x14ac:dyDescent="0.25">
      <c r="A55" s="8">
        <f t="shared" si="4"/>
        <v>278</v>
      </c>
      <c r="B55" s="9">
        <f>COUNTIFS(heart!$E$2:$E$303,"&gt;="&amp;A55, heart!$E$2:$E$303,"&lt;"&amp;A56)</f>
        <v>23</v>
      </c>
      <c r="C55" s="10" t="str">
        <f t="shared" si="5"/>
        <v>278–296</v>
      </c>
    </row>
    <row r="56" spans="1:14" x14ac:dyDescent="0.25">
      <c r="A56" s="8">
        <f t="shared" si="4"/>
        <v>297</v>
      </c>
      <c r="B56" s="9">
        <f>COUNTIFS(heart!$E$2:$E$303,"&gt;="&amp;A56, heart!$E$2:$E$303,"&lt;"&amp;A57)</f>
        <v>24</v>
      </c>
      <c r="C56" s="10" t="str">
        <f t="shared" si="5"/>
        <v>297–315</v>
      </c>
      <c r="I56" s="7"/>
    </row>
    <row r="57" spans="1:14" x14ac:dyDescent="0.25">
      <c r="A57" s="8">
        <f t="shared" si="4"/>
        <v>316</v>
      </c>
      <c r="B57" s="9">
        <f>COUNTIFS(heart!$E$2:$E$303,"&gt;="&amp;A57, heart!$E$2:$E$303,"&lt;"&amp;A58)</f>
        <v>11</v>
      </c>
      <c r="C57" s="10" t="str">
        <f t="shared" si="5"/>
        <v>316–334</v>
      </c>
    </row>
    <row r="58" spans="1:14" x14ac:dyDescent="0.25">
      <c r="A58" s="8">
        <f t="shared" si="4"/>
        <v>335</v>
      </c>
      <c r="B58" s="9">
        <f>COUNTIFS(heart!$E$2:$E$303,"&gt;="&amp;A58, heart!$E$2:$E$303,"&lt;"&amp;A59)</f>
        <v>6</v>
      </c>
      <c r="C58" s="10" t="str">
        <f t="shared" si="5"/>
        <v>335–353</v>
      </c>
    </row>
    <row r="59" spans="1:14" x14ac:dyDescent="0.25">
      <c r="A59" s="8">
        <f t="shared" si="4"/>
        <v>354</v>
      </c>
      <c r="B59" s="9">
        <f>COUNTIFS(heart!$E$2:$E$303,"&gt;="&amp;A59, heart!$E$2:$E$303,"&lt;"&amp;A60)</f>
        <v>2</v>
      </c>
      <c r="C59" s="10" t="str">
        <f t="shared" si="5"/>
        <v>354–372</v>
      </c>
    </row>
    <row r="60" spans="1:14" x14ac:dyDescent="0.25">
      <c r="A60" s="8">
        <f t="shared" si="4"/>
        <v>373</v>
      </c>
      <c r="B60" s="9">
        <f>COUNTIFS(heart!$E$2:$E$303,"&gt;="&amp;A60, heart!$E$2:$E$303,"&lt;"&amp;A61)</f>
        <v>0</v>
      </c>
      <c r="C60" s="10" t="str">
        <f t="shared" si="5"/>
        <v>373–391</v>
      </c>
    </row>
    <row r="61" spans="1:14" x14ac:dyDescent="0.25">
      <c r="A61" s="8">
        <f t="shared" si="4"/>
        <v>392</v>
      </c>
      <c r="B61" s="9">
        <f>COUNTIFS(heart!$E$2:$E$303,"&gt;="&amp;A61, heart!$E$2:$E$303,"&lt;"&amp;A62)</f>
        <v>3</v>
      </c>
      <c r="C61" s="10" t="str">
        <f t="shared" si="5"/>
        <v>392–410</v>
      </c>
    </row>
    <row r="62" spans="1:14" x14ac:dyDescent="0.25">
      <c r="A62" s="8">
        <f t="shared" si="4"/>
        <v>411</v>
      </c>
      <c r="B62" s="9">
        <f>COUNTIFS(heart!$E$2:$E$303,"&gt;="&amp;A62, heart!$E$2:$E$303,"&lt;"&amp;A63)</f>
        <v>1</v>
      </c>
      <c r="C62" s="10" t="str">
        <f t="shared" si="5"/>
        <v>411–429</v>
      </c>
    </row>
    <row r="63" spans="1:14" x14ac:dyDescent="0.25">
      <c r="A63" s="8">
        <f t="shared" si="4"/>
        <v>430</v>
      </c>
      <c r="B63" s="9">
        <f>COUNTIFS(heart!$E$2:$E$303,"&gt;="&amp;A63, heart!$E$2:$E$303,"&lt;"&amp;A64)</f>
        <v>0</v>
      </c>
      <c r="C63" s="10" t="str">
        <f t="shared" si="5"/>
        <v>430–448</v>
      </c>
      <c r="H63" s="3"/>
    </row>
    <row r="64" spans="1:14" x14ac:dyDescent="0.25">
      <c r="A64" s="8">
        <f t="shared" si="4"/>
        <v>449</v>
      </c>
      <c r="B64" s="9">
        <f>COUNTIFS(heart!$E$2:$E$303,"&gt;="&amp;A64, heart!$E$2:$E$303,"&lt;"&amp;A65)</f>
        <v>0</v>
      </c>
      <c r="C64" s="10" t="str">
        <f t="shared" si="5"/>
        <v>449–467</v>
      </c>
      <c r="H64" s="3"/>
    </row>
    <row r="65" spans="1:14" x14ac:dyDescent="0.25">
      <c r="A65" s="8">
        <f t="shared" si="4"/>
        <v>468</v>
      </c>
      <c r="B65" s="9">
        <f>COUNTIFS(heart!$E$2:$E$303,"&gt;="&amp;A65, heart!$E$2:$E$303,"&lt;"&amp;A66)</f>
        <v>0</v>
      </c>
      <c r="C65" s="10" t="str">
        <f t="shared" si="5"/>
        <v>468–486</v>
      </c>
    </row>
    <row r="66" spans="1:14" x14ac:dyDescent="0.25">
      <c r="A66" s="8">
        <f t="shared" si="4"/>
        <v>487</v>
      </c>
      <c r="B66" s="9">
        <f>COUNTIFS(heart!$E$2:$E$303,"&gt;="&amp;A66, heart!$E$2:$E$303,"&lt;"&amp;A67)</f>
        <v>0</v>
      </c>
      <c r="C66" s="10" t="str">
        <f t="shared" si="5"/>
        <v>487–505</v>
      </c>
    </row>
    <row r="67" spans="1:14" x14ac:dyDescent="0.25">
      <c r="A67" s="8">
        <f t="shared" si="4"/>
        <v>506</v>
      </c>
      <c r="B67" s="9">
        <f>COUNTIFS(heart!$E$2:$E$303,"&gt;="&amp;A67, heart!$E$2:$E$303,"&lt;"&amp;A68)</f>
        <v>0</v>
      </c>
      <c r="C67" s="10" t="str">
        <f t="shared" si="5"/>
        <v>506–524</v>
      </c>
    </row>
    <row r="68" spans="1:14" x14ac:dyDescent="0.25">
      <c r="A68" s="8">
        <f t="shared" si="4"/>
        <v>525</v>
      </c>
      <c r="B68" s="9">
        <f>COUNTIFS(heart!$E$2:$E$303,"&gt;="&amp;A68, heart!$E$2:$E$303,"&lt;"&amp;A69)</f>
        <v>0</v>
      </c>
      <c r="C68" s="10" t="str">
        <f t="shared" si="5"/>
        <v>525–543</v>
      </c>
    </row>
    <row r="69" spans="1:14" x14ac:dyDescent="0.25">
      <c r="A69" s="8">
        <f t="shared" si="4"/>
        <v>544</v>
      </c>
      <c r="B69" s="9">
        <f>COUNTIFS(heart!$E$2:$E$303,"&gt;="&amp;A69, heart!$E$2:$E$303,"&lt;"&amp;A70)</f>
        <v>0</v>
      </c>
      <c r="C69" s="10" t="str">
        <f t="shared" si="5"/>
        <v>544–562</v>
      </c>
    </row>
    <row r="70" spans="1:14" x14ac:dyDescent="0.25">
      <c r="A70" s="8">
        <f t="shared" si="4"/>
        <v>563</v>
      </c>
      <c r="B70" s="9">
        <f>COUNTIFS(heart!$E$2:$E$303,"&gt;="&amp;A70, heart!$E$2:$E$303,"&lt;"&amp;A71)</f>
        <v>1</v>
      </c>
      <c r="C70" s="10" t="str">
        <f t="shared" si="5"/>
        <v>563–581</v>
      </c>
    </row>
    <row r="71" spans="1:14" x14ac:dyDescent="0.25">
      <c r="A71" s="8">
        <f t="shared" si="4"/>
        <v>582</v>
      </c>
      <c r="B71" s="9">
        <f>COUNTIFS(heart!$E$2:$E$303,"&gt;="&amp;A71, heart!$E$2:$E$303,"&lt;"&amp;A72)</f>
        <v>0</v>
      </c>
      <c r="C71" s="11">
        <f>A71</f>
        <v>582</v>
      </c>
    </row>
    <row r="75" spans="1:14" x14ac:dyDescent="0.25">
      <c r="A75" s="19" t="s">
        <v>54</v>
      </c>
      <c r="B75" s="19"/>
      <c r="C75" s="12" t="s">
        <v>59</v>
      </c>
      <c r="E75" t="s">
        <v>63</v>
      </c>
    </row>
    <row r="76" spans="1:14" x14ac:dyDescent="0.25">
      <c r="A76" s="8">
        <f>F81</f>
        <v>71</v>
      </c>
      <c r="B76" s="9">
        <f>COUNTIFS(heart!$H$2:$H$303,"&gt;="&amp;A76, heart!$H$2:$H$303,"&lt;"&amp;A77)</f>
        <v>1</v>
      </c>
      <c r="C76" s="10" t="str">
        <f>A76 &amp; "–" &amp; A77-1</f>
        <v>71–80</v>
      </c>
    </row>
    <row r="77" spans="1:14" x14ac:dyDescent="0.25">
      <c r="A77" s="8">
        <f>A76+$F$80</f>
        <v>81</v>
      </c>
      <c r="B77" s="9">
        <f>COUNTIFS(heart!$H$2:$H$303,"&gt;="&amp;A77, heart!$H$2:$H$303,"&lt;"&amp;A78)</f>
        <v>2</v>
      </c>
      <c r="C77" s="10" t="str">
        <f>A77 &amp; "–" &amp; A78-1</f>
        <v>81–90</v>
      </c>
      <c r="E77" t="s">
        <v>52</v>
      </c>
      <c r="F77">
        <f>_xlfn.QUARTILE.INC(heart!H2:H303,1)</f>
        <v>133.25</v>
      </c>
    </row>
    <row r="78" spans="1:14" x14ac:dyDescent="0.25">
      <c r="A78" s="8">
        <f>A77+$F$80</f>
        <v>91</v>
      </c>
      <c r="B78" s="9">
        <f>COUNTIFS(heart!$H$2:$H$303,"&gt;="&amp;A78, heart!$H$2:$H$303,"&lt;"&amp;A79)</f>
        <v>5</v>
      </c>
      <c r="C78" s="10" t="str">
        <f t="shared" ref="C78:C89" si="6">A78 &amp; "–" &amp; A79-1</f>
        <v>91–100</v>
      </c>
      <c r="E78" t="s">
        <v>51</v>
      </c>
      <c r="F78">
        <f>_xlfn.QUARTILE.INC(heart!H2:H303,3)</f>
        <v>166</v>
      </c>
      <c r="N78" s="7"/>
    </row>
    <row r="79" spans="1:14" x14ac:dyDescent="0.25">
      <c r="A79" s="8">
        <f>A78+$F$80</f>
        <v>101</v>
      </c>
      <c r="B79" s="9">
        <f>COUNTIFS(heart!$H$2:$H$303,"&gt;="&amp;A79, heart!$H$2:$H$303,"&lt;"&amp;A80)</f>
        <v>10</v>
      </c>
      <c r="C79" s="10" t="str">
        <f t="shared" si="6"/>
        <v>101–110</v>
      </c>
      <c r="E79" t="s">
        <v>50</v>
      </c>
      <c r="F79">
        <f>F78-F77</f>
        <v>32.75</v>
      </c>
      <c r="N79" s="7"/>
    </row>
    <row r="80" spans="1:14" x14ac:dyDescent="0.25">
      <c r="A80" s="8">
        <f>A79+$F$80</f>
        <v>111</v>
      </c>
      <c r="B80" s="9">
        <f>COUNTIFS(heart!$H$2:$H$303,"&gt;="&amp;A80, heart!$H$2:$H$303,"&lt;"&amp;A81)</f>
        <v>19</v>
      </c>
      <c r="C80" s="10" t="str">
        <f t="shared" si="6"/>
        <v>111–120</v>
      </c>
      <c r="E80" t="s">
        <v>53</v>
      </c>
      <c r="F80" s="7">
        <f>MROUND(2*F79/(COUNT(heart!H2:H303)^(1/3)),1)</f>
        <v>10</v>
      </c>
      <c r="N80" s="7"/>
    </row>
    <row r="81" spans="1:9" x14ac:dyDescent="0.25">
      <c r="A81" s="8">
        <f>A80+$F$80</f>
        <v>121</v>
      </c>
      <c r="B81" s="9">
        <f>COUNTIFS(heart!$H$2:$H$303,"&gt;="&amp;A81, heart!$H$2:$H$303,"&lt;"&amp;A82)</f>
        <v>26</v>
      </c>
      <c r="C81" s="10" t="str">
        <f t="shared" si="6"/>
        <v>121–130</v>
      </c>
      <c r="E81" t="s">
        <v>64</v>
      </c>
      <c r="F81" s="7">
        <f>'tabel 2.1'!D9</f>
        <v>71</v>
      </c>
    </row>
    <row r="82" spans="1:9" x14ac:dyDescent="0.25">
      <c r="A82" s="8">
        <f>A81+$F$80</f>
        <v>131</v>
      </c>
      <c r="B82" s="9">
        <f>COUNTIFS(heart!$H$2:$H$303,"&gt;="&amp;A82, heart!$H$2:$H$303,"&lt;"&amp;A83)</f>
        <v>28</v>
      </c>
      <c r="C82" s="10" t="str">
        <f t="shared" si="6"/>
        <v>131–140</v>
      </c>
      <c r="E82" t="s">
        <v>65</v>
      </c>
      <c r="F82" s="7">
        <f>'tabel 2.1'!E9</f>
        <v>202</v>
      </c>
    </row>
    <row r="83" spans="1:9" x14ac:dyDescent="0.25">
      <c r="A83" s="8">
        <f>A82+$F$80</f>
        <v>141</v>
      </c>
      <c r="B83" s="9">
        <f>COUNTIFS(heart!$H$2:$H$303,"&gt;="&amp;A83, heart!$H$2:$H$303,"&lt;"&amp;A84)</f>
        <v>48</v>
      </c>
      <c r="C83" s="10" t="str">
        <f t="shared" si="6"/>
        <v>141–150</v>
      </c>
    </row>
    <row r="84" spans="1:9" x14ac:dyDescent="0.25">
      <c r="A84" s="8">
        <f>A83+$F$80</f>
        <v>151</v>
      </c>
      <c r="B84" s="9">
        <f>COUNTIFS(heart!$H$2:$H$303,"&gt;="&amp;A84, heart!$H$2:$H$303,"&lt;"&amp;A85)</f>
        <v>54</v>
      </c>
      <c r="C84" s="10" t="str">
        <f t="shared" si="6"/>
        <v>151–160</v>
      </c>
    </row>
    <row r="85" spans="1:9" x14ac:dyDescent="0.25">
      <c r="A85" s="8">
        <f>A84+$F$80</f>
        <v>161</v>
      </c>
      <c r="B85" s="9">
        <f>COUNTIFS(heart!$H$2:$H$303,"&gt;="&amp;A85, heart!$H$2:$H$303,"&lt;"&amp;A86)</f>
        <v>52</v>
      </c>
      <c r="C85" s="10" t="str">
        <f t="shared" si="6"/>
        <v>161–170</v>
      </c>
      <c r="I85" s="7"/>
    </row>
    <row r="86" spans="1:9" x14ac:dyDescent="0.25">
      <c r="A86" s="8">
        <f>A85+$F$80</f>
        <v>171</v>
      </c>
      <c r="B86" s="9">
        <f>COUNTIFS(heart!$H$2:$H$303,"&gt;="&amp;A86, heart!$H$2:$H$303,"&lt;"&amp;A87)</f>
        <v>39</v>
      </c>
      <c r="C86" s="10" t="str">
        <f t="shared" si="6"/>
        <v>171–180</v>
      </c>
    </row>
    <row r="87" spans="1:9" x14ac:dyDescent="0.25">
      <c r="A87" s="8">
        <f>A86+$F$80</f>
        <v>181</v>
      </c>
      <c r="B87" s="9">
        <f>COUNTIFS(heart!$H$2:$H$303,"&gt;="&amp;A87, heart!$H$2:$H$303,"&lt;"&amp;A88)</f>
        <v>14</v>
      </c>
      <c r="C87" s="10" t="str">
        <f t="shared" si="6"/>
        <v>181–190</v>
      </c>
    </row>
    <row r="88" spans="1:9" x14ac:dyDescent="0.25">
      <c r="A88" s="8">
        <f>A87+$F$80</f>
        <v>191</v>
      </c>
      <c r="B88" s="9">
        <f>COUNTIFS(heart!$H$2:$H$303,"&gt;="&amp;A88, heart!$H$2:$H$303,"&lt;"&amp;A89)</f>
        <v>3</v>
      </c>
      <c r="C88" s="10" t="str">
        <f t="shared" si="6"/>
        <v>191–200</v>
      </c>
    </row>
    <row r="89" spans="1:9" x14ac:dyDescent="0.25">
      <c r="A89" s="8">
        <f>A88+$F$80</f>
        <v>201</v>
      </c>
      <c r="B89" s="9">
        <f>COUNTIFS(heart!$H$2:$H$303,"&gt;="&amp;A89, heart!$H$2:$H$303,"&lt;"&amp;A90)</f>
        <v>1</v>
      </c>
      <c r="C89" s="10" t="str">
        <f t="shared" si="6"/>
        <v>201–210</v>
      </c>
    </row>
    <row r="90" spans="1:9" x14ac:dyDescent="0.25">
      <c r="A90" s="8">
        <f>A89+$F$80</f>
        <v>211</v>
      </c>
      <c r="B90" s="9">
        <f>COUNTIFS(heart!$H$2:$H$303,"&gt;="&amp;A90, heart!$H$2:$H$303,"&lt;"&amp;A91)</f>
        <v>0</v>
      </c>
      <c r="C90" s="11">
        <f>A90</f>
        <v>211</v>
      </c>
    </row>
    <row r="92" spans="1:9" x14ac:dyDescent="0.25">
      <c r="H92" s="3"/>
    </row>
    <row r="93" spans="1:9" x14ac:dyDescent="0.25">
      <c r="H93" s="3"/>
    </row>
    <row r="97" spans="1:14" x14ac:dyDescent="0.25">
      <c r="A97" s="19" t="s">
        <v>54</v>
      </c>
      <c r="B97" s="19"/>
      <c r="C97" s="12" t="s">
        <v>59</v>
      </c>
      <c r="E97" t="s">
        <v>66</v>
      </c>
    </row>
    <row r="98" spans="1:14" x14ac:dyDescent="0.25">
      <c r="A98" s="14">
        <f>F103</f>
        <v>0</v>
      </c>
      <c r="B98" s="9">
        <f>COUNTIFS(heart!$J$2:$J$303,"&gt;="&amp;A98, heart!$J$2:$J$303,"&lt;"&amp;A99)</f>
        <v>129</v>
      </c>
      <c r="C98" s="10" t="str">
        <f>ROUND(A98,2) &amp; "–" &amp; (ROUND(A99,2)-0.01)</f>
        <v>0–0,47</v>
      </c>
    </row>
    <row r="99" spans="1:14" x14ac:dyDescent="0.25">
      <c r="A99" s="14">
        <f>A98+$F$102</f>
        <v>0.47695894420240142</v>
      </c>
      <c r="B99" s="9">
        <f>COUNTIFS(heart!$J$2:$J$303,"&gt;="&amp;A99, heart!$J$2:$J$303,"&lt;"&amp;A100)</f>
        <v>36</v>
      </c>
      <c r="C99" s="10" t="str">
        <f>ROUND(A99,2) &amp; "–" &amp; (ROUND(A100,2)-0.01)</f>
        <v>0,48–0,94</v>
      </c>
      <c r="E99" t="s">
        <v>52</v>
      </c>
      <c r="F99" s="13">
        <f>_xlfn.QUARTILE.INC(heart!J2:J303,1)</f>
        <v>0</v>
      </c>
    </row>
    <row r="100" spans="1:14" x14ac:dyDescent="0.25">
      <c r="A100" s="14">
        <f t="shared" ref="A100:A116" si="7">A99+$F$102</f>
        <v>0.95391788840480285</v>
      </c>
      <c r="B100" s="9">
        <f>COUNTIFS(heart!$J$2:$J$303,"&gt;="&amp;A100, heart!$J$2:$J$303,"&lt;"&amp;A101)</f>
        <v>47</v>
      </c>
      <c r="C100" s="10" t="str">
        <f t="shared" ref="C100:C115" si="8">ROUND(A100,2) &amp; "–" &amp; (ROUND(A101,2)-0.01)</f>
        <v>0,95–1,42</v>
      </c>
      <c r="E100" t="s">
        <v>51</v>
      </c>
      <c r="F100" s="13">
        <f>_xlfn.QUARTILE.INC(heart!J2:J303,3)</f>
        <v>1.6</v>
      </c>
      <c r="N100" s="7"/>
    </row>
    <row r="101" spans="1:14" x14ac:dyDescent="0.25">
      <c r="A101" s="14">
        <f t="shared" si="7"/>
        <v>1.4308768326072043</v>
      </c>
      <c r="B101" s="9">
        <f>COUNTIFS(heart!$J$2:$J$303,"&gt;="&amp;A101, heart!$J$2:$J$303,"&lt;"&amp;A102)</f>
        <v>31</v>
      </c>
      <c r="C101" s="10" t="str">
        <f t="shared" si="8"/>
        <v>1,43–1,9</v>
      </c>
      <c r="E101" t="s">
        <v>50</v>
      </c>
      <c r="F101" s="13">
        <f>F100-F99</f>
        <v>1.6</v>
      </c>
      <c r="N101" s="7"/>
    </row>
    <row r="102" spans="1:14" x14ac:dyDescent="0.25">
      <c r="A102" s="14">
        <f t="shared" si="7"/>
        <v>1.9078357768096057</v>
      </c>
      <c r="B102" s="9">
        <f>COUNTIFS(heart!$J$2:$J$303,"&gt;="&amp;A102, heart!$J$2:$J$303,"&lt;"&amp;A103)</f>
        <v>16</v>
      </c>
      <c r="C102" s="10" t="str">
        <f t="shared" si="8"/>
        <v>1,91–2,37</v>
      </c>
      <c r="E102" t="s">
        <v>53</v>
      </c>
      <c r="F102" s="13">
        <f>2*F101/(COUNT(heart!J2:J303)^(1/3))</f>
        <v>0.47695894420240142</v>
      </c>
      <c r="N102" s="7"/>
    </row>
    <row r="103" spans="1:14" x14ac:dyDescent="0.25">
      <c r="A103" s="14">
        <f t="shared" si="7"/>
        <v>2.3847947210120073</v>
      </c>
      <c r="B103" s="9">
        <f>COUNTIFS(heart!$J$2:$J$303,"&gt;="&amp;A103, heart!$J$2:$J$303,"&lt;"&amp;A104)</f>
        <v>17</v>
      </c>
      <c r="C103" s="10" t="str">
        <f t="shared" si="8"/>
        <v>2,38–2,85</v>
      </c>
      <c r="E103" t="s">
        <v>67</v>
      </c>
      <c r="F103" s="13">
        <f>'tabel 2.1'!D11</f>
        <v>0</v>
      </c>
    </row>
    <row r="104" spans="1:14" x14ac:dyDescent="0.25">
      <c r="A104" s="14">
        <f t="shared" si="7"/>
        <v>2.8617536652144087</v>
      </c>
      <c r="B104" s="9">
        <f>COUNTIFS(heart!$J$2:$J$303,"&gt;="&amp;A104, heart!$J$2:$J$303,"&lt;"&amp;A105)</f>
        <v>9</v>
      </c>
      <c r="C104" s="10" t="str">
        <f t="shared" si="8"/>
        <v>2,86–3,33</v>
      </c>
      <c r="E104" t="s">
        <v>68</v>
      </c>
      <c r="F104" s="13">
        <f>'tabel 2.1'!E11</f>
        <v>6.2</v>
      </c>
    </row>
    <row r="105" spans="1:14" x14ac:dyDescent="0.25">
      <c r="A105" s="14">
        <f t="shared" si="7"/>
        <v>3.33871260941681</v>
      </c>
      <c r="B105" s="9">
        <f>COUNTIFS(heart!$J$2:$J$303,"&gt;="&amp;A105, heart!$J$2:$J$303,"&lt;"&amp;A106)</f>
        <v>9</v>
      </c>
      <c r="C105" s="10" t="str">
        <f t="shared" si="8"/>
        <v>3,34–3,81</v>
      </c>
    </row>
    <row r="106" spans="1:14" x14ac:dyDescent="0.25">
      <c r="A106" s="14">
        <f t="shared" si="7"/>
        <v>3.8156715536192114</v>
      </c>
      <c r="B106" s="9">
        <f>COUNTIFS(heart!$J$2:$J$303,"&gt;="&amp;A106, heart!$J$2:$J$303,"&lt;"&amp;A107)</f>
        <v>5</v>
      </c>
      <c r="C106" s="10" t="str">
        <f t="shared" si="8"/>
        <v>3,82–4,28</v>
      </c>
    </row>
    <row r="107" spans="1:14" x14ac:dyDescent="0.25">
      <c r="A107" s="14">
        <f t="shared" si="7"/>
        <v>4.2926304978216132</v>
      </c>
      <c r="B107" s="9">
        <f>COUNTIFS(heart!$J$2:$J$303,"&gt;="&amp;A107, heart!$J$2:$J$303,"&lt;"&amp;A108)</f>
        <v>1</v>
      </c>
      <c r="C107" s="10" t="str">
        <f t="shared" si="8"/>
        <v>4,29–4,76</v>
      </c>
      <c r="I107" s="7"/>
    </row>
    <row r="108" spans="1:14" x14ac:dyDescent="0.25">
      <c r="A108" s="14">
        <f t="shared" si="7"/>
        <v>4.7695894420240146</v>
      </c>
      <c r="B108" s="9">
        <f>COUNTIFS(heart!$J$2:$J$303,"&gt;="&amp;A108, heart!$J$2:$J$303,"&lt;"&amp;A109)</f>
        <v>0</v>
      </c>
      <c r="C108" s="10" t="str">
        <f t="shared" si="8"/>
        <v>4,77–5,24</v>
      </c>
    </row>
    <row r="109" spans="1:14" x14ac:dyDescent="0.25">
      <c r="A109" s="14">
        <f t="shared" si="7"/>
        <v>5.2465483862264159</v>
      </c>
      <c r="B109" s="9">
        <f>COUNTIFS(heart!$J$2:$J$303,"&gt;="&amp;A109, heart!$J$2:$J$303,"&lt;"&amp;A110)</f>
        <v>1</v>
      </c>
      <c r="C109" s="10" t="str">
        <f t="shared" si="8"/>
        <v>5,25–5,71</v>
      </c>
    </row>
    <row r="110" spans="1:14" x14ac:dyDescent="0.25">
      <c r="A110" s="14">
        <f t="shared" si="7"/>
        <v>5.7235073304288173</v>
      </c>
      <c r="B110" s="9">
        <f>COUNTIFS(heart!$J$2:$J$303,"&gt;="&amp;A110, heart!$J$2:$J$303,"&lt;"&amp;A111)</f>
        <v>1</v>
      </c>
      <c r="C110" s="10" t="str">
        <f t="shared" si="8"/>
        <v>5,72–6,19</v>
      </c>
    </row>
    <row r="111" spans="1:14" x14ac:dyDescent="0.25">
      <c r="A111" s="14">
        <f t="shared" si="7"/>
        <v>6.2004662746312187</v>
      </c>
      <c r="B111" s="9">
        <f>COUNTIFS(heart!$J$2:$J$303,"&gt;="&amp;A111, heart!$J$2:$J$303,"&lt;"&amp;A112)</f>
        <v>0</v>
      </c>
      <c r="C111" s="15">
        <f>ROUND(A111,2)</f>
        <v>6.2</v>
      </c>
    </row>
    <row r="114" spans="8:8" x14ac:dyDescent="0.25">
      <c r="H114" s="3"/>
    </row>
    <row r="115" spans="8:8" x14ac:dyDescent="0.25">
      <c r="H115" s="3"/>
    </row>
  </sheetData>
  <mergeCells count="5">
    <mergeCell ref="A1:B1"/>
    <mergeCell ref="A23:B23"/>
    <mergeCell ref="A46:B46"/>
    <mergeCell ref="A75:B75"/>
    <mergeCell ref="A97:B97"/>
  </mergeCells>
  <pageMargins left="0.7" right="0.7" top="0.75" bottom="0.75" header="0.3" footer="0.3"/>
  <pageSetup paperSize="9" orientation="portrait" horizontalDpi="4294967293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FD809-3F76-4C2A-B7AD-0665A2CC1372}">
  <dimension ref="A1:G7"/>
  <sheetViews>
    <sheetView tabSelected="1" workbookViewId="0">
      <selection activeCell="H24" sqref="H24"/>
    </sheetView>
  </sheetViews>
  <sheetFormatPr defaultRowHeight="15" x14ac:dyDescent="0.25"/>
  <cols>
    <col min="1" max="1" width="9.85546875" customWidth="1"/>
    <col min="3" max="3" width="11.5703125" bestFit="1" customWidth="1"/>
  </cols>
  <sheetData>
    <row r="1" spans="1:7" x14ac:dyDescent="0.25">
      <c r="A1" s="16"/>
      <c r="B1" s="17" t="s">
        <v>0</v>
      </c>
      <c r="C1" s="17" t="s">
        <v>3</v>
      </c>
      <c r="D1" s="17" t="s">
        <v>4</v>
      </c>
      <c r="E1" s="17" t="s">
        <v>7</v>
      </c>
      <c r="F1" s="17" t="s">
        <v>9</v>
      </c>
      <c r="G1" s="17" t="s">
        <v>13</v>
      </c>
    </row>
    <row r="2" spans="1:7" x14ac:dyDescent="0.25">
      <c r="A2" s="17" t="s">
        <v>0</v>
      </c>
      <c r="B2" s="18">
        <v>1</v>
      </c>
      <c r="C2" s="18">
        <f>CORREL(heart!A2:A303, heart!D2:D303)</f>
        <v>0.28312067898080368</v>
      </c>
      <c r="D2" s="18">
        <f>CORREL(heart!A2:A303, heart!E2:E303)</f>
        <v>0.20721550565611752</v>
      </c>
      <c r="E2" s="18">
        <f>CORREL(heart!A2:A303, heart!H2:H303)</f>
        <v>-0.39523518755348025</v>
      </c>
      <c r="F2" s="18">
        <f>CORREL(heart!A2:A303, heart!J2:J303)</f>
        <v>0.20603963750076101</v>
      </c>
      <c r="G2" s="18">
        <f>CORREL(heart!A2:A303, heart!N2:N303)</f>
        <v>-0.22147582776656269</v>
      </c>
    </row>
    <row r="3" spans="1:7" x14ac:dyDescent="0.25">
      <c r="A3" s="17" t="s">
        <v>3</v>
      </c>
      <c r="B3" s="18">
        <f>CORREL(heart!D2:D303, heart!A2:A303)</f>
        <v>0.28312067898080368</v>
      </c>
      <c r="C3" s="18">
        <v>1</v>
      </c>
      <c r="D3" s="18">
        <f>CORREL(heart!D2:D303, heart!E2:E303)</f>
        <v>0.12525628555536719</v>
      </c>
      <c r="E3" s="18">
        <f>CORREL(heart!D2:D303, heart!H2:H303)</f>
        <v>-4.8022712031585604E-2</v>
      </c>
      <c r="F3" s="18">
        <f>CORREL(heart!D2:D303, heart!J2:J303)</f>
        <v>0.1945999503128808</v>
      </c>
      <c r="G3" s="18">
        <f>CORREL(heart!D2:D303, heart!N2:N303)</f>
        <v>-0.14626866384155465</v>
      </c>
    </row>
    <row r="4" spans="1:7" x14ac:dyDescent="0.25">
      <c r="A4" s="17" t="s">
        <v>4</v>
      </c>
      <c r="B4" s="18">
        <f>CORREL(heart!E2:E303, heart!A2:A303)</f>
        <v>0.20721550565611752</v>
      </c>
      <c r="C4" s="18">
        <f>CORREL(heart!E2:E303, heart!D2:D303)</f>
        <v>0.12525628555536719</v>
      </c>
      <c r="D4" s="18">
        <v>1</v>
      </c>
      <c r="E4" s="18">
        <f>CORREL(heart!E2:E303, heart!H2:H303)</f>
        <v>-5.3084957947549223E-3</v>
      </c>
      <c r="F4" s="18">
        <f>CORREL(heart!E2:E303, heart!J2:J303)</f>
        <v>5.0086024023738768E-2</v>
      </c>
      <c r="G4" s="18">
        <f>CORREL(heart!E2:E303, heart!N2:N303)</f>
        <v>-8.1437200518441583E-2</v>
      </c>
    </row>
    <row r="5" spans="1:7" x14ac:dyDescent="0.25">
      <c r="A5" s="17" t="s">
        <v>7</v>
      </c>
      <c r="B5" s="18">
        <f>CORREL(heart!H2:H303, heart!A2:A303)</f>
        <v>-0.39523518755348025</v>
      </c>
      <c r="C5" s="18">
        <f>CORREL(heart!H2:H303, heart!D2:D303)</f>
        <v>-4.8022712031585604E-2</v>
      </c>
      <c r="D5" s="18">
        <f>CORREL(heart!H2:H303, heart!E2:E303)</f>
        <v>-5.3084957947549223E-3</v>
      </c>
      <c r="E5" s="18">
        <v>1</v>
      </c>
      <c r="F5" s="18">
        <f>CORREL(heart!H2:H303, heart!J2:J303)</f>
        <v>-0.34220074592470118</v>
      </c>
      <c r="G5" s="18">
        <f>CORREL(heart!H2:H303, heart!N2:N303)</f>
        <v>0.41995504366387071</v>
      </c>
    </row>
    <row r="6" spans="1:7" x14ac:dyDescent="0.25">
      <c r="A6" s="17" t="s">
        <v>9</v>
      </c>
      <c r="B6" s="18">
        <f>CORREL(heart!J2:J303, heart!A2:A303)</f>
        <v>0.20603963750076101</v>
      </c>
      <c r="C6" s="18">
        <f>CORREL(heart!J2:J303, heart!D2:D303)</f>
        <v>0.1945999503128808</v>
      </c>
      <c r="D6" s="18">
        <f>CORREL(heart!J2:J303, heart!E2:E303)</f>
        <v>5.0086024023738768E-2</v>
      </c>
      <c r="E6" s="18">
        <f>CORREL(heart!J2:J303, heart!H2:H303)</f>
        <v>-0.34220074592470118</v>
      </c>
      <c r="F6" s="18">
        <v>1</v>
      </c>
      <c r="G6" s="18">
        <f>CORREL(heart!J2:J303, heart!N2:N303)</f>
        <v>-0.42914583288673802</v>
      </c>
    </row>
    <row r="7" spans="1:7" x14ac:dyDescent="0.25">
      <c r="A7" s="17" t="s">
        <v>13</v>
      </c>
      <c r="B7" s="18">
        <f>CORREL(heart!N2:N303, heart!A2:A303)</f>
        <v>-0.22147582776656269</v>
      </c>
      <c r="C7" s="18">
        <f>CORREL(heart!N2:N303, heart!D2:D303)</f>
        <v>-0.14626866384155465</v>
      </c>
      <c r="D7" s="18">
        <f>CORREL(heart!N2:N303, heart!E2:E303)</f>
        <v>-8.1437200518441583E-2</v>
      </c>
      <c r="E7" s="18">
        <f>CORREL(heart!N2:N303, heart!H2:H303)</f>
        <v>0.41995504366387071</v>
      </c>
      <c r="F7" s="18">
        <f>CORREL(heart!N2:N303, heart!J2:J303)</f>
        <v>-0.42914583288673802</v>
      </c>
      <c r="G7" s="18">
        <v>1</v>
      </c>
    </row>
  </sheetData>
  <conditionalFormatting sqref="B2:G7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3A0DB-C98B-4CE2-9AB2-0D5889A904F1}">
  <dimension ref="A1"/>
  <sheetViews>
    <sheetView workbookViewId="0">
      <selection activeCell="L25" sqref="L2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heart</vt:lpstr>
      <vt:lpstr>tabel fitur</vt:lpstr>
      <vt:lpstr>tabel 2.1</vt:lpstr>
      <vt:lpstr>tabel 2.2</vt:lpstr>
      <vt:lpstr>histogram</vt:lpstr>
      <vt:lpstr>heatmap</vt:lpstr>
      <vt:lpstr>boxplot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Yanlis Alim Sang Putra Lase</cp:lastModifiedBy>
  <dcterms:created xsi:type="dcterms:W3CDTF">2025-12-05T13:23:20Z</dcterms:created>
  <dcterms:modified xsi:type="dcterms:W3CDTF">2025-12-16T09:53:52Z</dcterms:modified>
</cp:coreProperties>
</file>